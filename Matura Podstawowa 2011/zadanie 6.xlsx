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k\Desktop\Nauka Informatyka Excel\Matura Podstawowa 2011\"/>
    </mc:Choice>
  </mc:AlternateContent>
  <xr:revisionPtr revIDLastSave="0" documentId="8_{A5209BF1-21A7-4F25-954A-BF53552D1903}" xr6:coauthVersionLast="47" xr6:coauthVersionMax="47" xr10:uidLastSave="{00000000-0000-0000-0000-000000000000}"/>
  <bookViews>
    <workbookView xWindow="-38520" yWindow="-3165" windowWidth="38640" windowHeight="21240" activeTab="1" xr2:uid="{5764A154-6FE0-4BD9-B4F2-DDD5424032E2}"/>
  </bookViews>
  <sheets>
    <sheet name="Arkusz1" sheetId="1" r:id="rId1"/>
    <sheet name="Arkusz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8" i="1" l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B128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A2" i="1"/>
  <c r="AB2" i="1" s="1"/>
  <c r="AA3" i="1"/>
  <c r="AA4" i="1"/>
  <c r="AB4" i="1" s="1"/>
  <c r="AA5" i="1"/>
  <c r="AB5" i="1" s="1"/>
  <c r="AA6" i="1"/>
  <c r="AB6" i="1" s="1"/>
  <c r="AA7" i="1"/>
  <c r="AB7" i="1" s="1"/>
  <c r="AA8" i="1"/>
  <c r="AB8" i="1" s="1"/>
  <c r="AA9" i="1"/>
  <c r="AB9" i="1" s="1"/>
  <c r="AA10" i="1"/>
  <c r="AB10" i="1" s="1"/>
  <c r="AA11" i="1"/>
  <c r="AB11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49" i="1"/>
  <c r="AB49" i="1" s="1"/>
  <c r="AA50" i="1"/>
  <c r="AB50" i="1" s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64" i="1"/>
  <c r="AB64" i="1" s="1"/>
  <c r="AA65" i="1"/>
  <c r="AB65" i="1" s="1"/>
  <c r="AA66" i="1"/>
  <c r="AB66" i="1" s="1"/>
  <c r="AA67" i="1"/>
  <c r="AB67" i="1" s="1"/>
  <c r="AA68" i="1"/>
  <c r="AB68" i="1" s="1"/>
  <c r="AA69" i="1"/>
  <c r="AB69" i="1" s="1"/>
  <c r="AA70" i="1"/>
  <c r="AB70" i="1" s="1"/>
  <c r="AA71" i="1"/>
  <c r="AB71" i="1" s="1"/>
  <c r="AA72" i="1"/>
  <c r="AB72" i="1" s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B78" i="1" s="1"/>
  <c r="AA79" i="1"/>
  <c r="AB79" i="1" s="1"/>
  <c r="AA80" i="1"/>
  <c r="AB80" i="1" s="1"/>
  <c r="AA81" i="1"/>
  <c r="AB81" i="1" s="1"/>
  <c r="AA82" i="1"/>
  <c r="AB82" i="1" s="1"/>
  <c r="AA83" i="1"/>
  <c r="AB83" i="1" s="1"/>
  <c r="AA84" i="1"/>
  <c r="AB84" i="1" s="1"/>
  <c r="AA85" i="1"/>
  <c r="AB85" i="1" s="1"/>
  <c r="AA86" i="1"/>
  <c r="AB86" i="1" s="1"/>
  <c r="AA87" i="1"/>
  <c r="AB87" i="1" s="1"/>
  <c r="AA88" i="1"/>
  <c r="AB88" i="1" s="1"/>
  <c r="AA89" i="1"/>
  <c r="AB89" i="1" s="1"/>
  <c r="AA90" i="1"/>
  <c r="AB90" i="1" s="1"/>
  <c r="AA91" i="1"/>
  <c r="AB91" i="1" s="1"/>
  <c r="AA92" i="1"/>
  <c r="AB92" i="1" s="1"/>
  <c r="AA93" i="1"/>
  <c r="AB93" i="1" s="1"/>
  <c r="AA94" i="1"/>
  <c r="AB94" i="1" s="1"/>
  <c r="AA95" i="1"/>
  <c r="AB95" i="1" s="1"/>
  <c r="AA96" i="1"/>
  <c r="AB96" i="1" s="1"/>
  <c r="AA97" i="1"/>
  <c r="AB97" i="1" s="1"/>
  <c r="AA98" i="1"/>
  <c r="AB98" i="1" s="1"/>
  <c r="AA99" i="1"/>
  <c r="AB99" i="1" s="1"/>
  <c r="AA100" i="1"/>
  <c r="AB100" i="1" s="1"/>
  <c r="AA101" i="1"/>
  <c r="AB101" i="1" s="1"/>
  <c r="AA102" i="1"/>
  <c r="AB102" i="1" s="1"/>
  <c r="AA103" i="1"/>
  <c r="AB103" i="1" s="1"/>
  <c r="AA104" i="1"/>
  <c r="AB104" i="1" s="1"/>
  <c r="AA105" i="1"/>
  <c r="AB105" i="1" s="1"/>
  <c r="AA106" i="1"/>
  <c r="AB106" i="1" s="1"/>
  <c r="AA107" i="1"/>
  <c r="AB107" i="1" s="1"/>
  <c r="AA108" i="1"/>
  <c r="AB108" i="1" s="1"/>
  <c r="AA109" i="1"/>
  <c r="AB109" i="1" s="1"/>
  <c r="AA110" i="1"/>
  <c r="AB110" i="1" s="1"/>
  <c r="AA111" i="1"/>
  <c r="AB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A126" i="1"/>
  <c r="AB126" i="1" s="1"/>
  <c r="AA127" i="1"/>
  <c r="AB127" i="1" s="1"/>
  <c r="J136" i="1"/>
  <c r="C136" i="1"/>
  <c r="D136" i="1"/>
  <c r="E136" i="1"/>
  <c r="F136" i="1"/>
  <c r="G136" i="1"/>
  <c r="H136" i="1"/>
  <c r="I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B136" i="1"/>
  <c r="AA134" i="1" l="1"/>
  <c r="AB3" i="1"/>
  <c r="AA133" i="1"/>
</calcChain>
</file>

<file path=xl/sharedStrings.xml><?xml version="1.0" encoding="utf-8"?>
<sst xmlns="http://schemas.openxmlformats.org/spreadsheetml/2006/main" count="30" uniqueCount="30">
  <si>
    <t>Nr_ucznia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</si>
  <si>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</si>
  <si>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</si>
  <si>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</si>
  <si>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</si>
  <si>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</si>
  <si>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</si>
  <si>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</si>
  <si>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</si>
  <si>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</si>
  <si>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</si>
  <si>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</si>
  <si>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</si>
  <si>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</si>
  <si>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</si>
  <si>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</si>
  <si>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</si>
  <si>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</si>
  <si>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</si>
  <si>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</si>
  <si>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</si>
  <si>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</si>
  <si>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</si>
  <si>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</si>
  <si>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</si>
  <si>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</si>
  <si>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Zdawalność Pytań</t>
  </si>
  <si>
    <t>Wynik %</t>
  </si>
  <si>
    <t>Wynik pkt</t>
  </si>
  <si>
    <t>Czy osoba odpowiedziala dobrze na 5,15,25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</si>
</sst>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2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ny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Arkusz1!$B$128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6-4DF3-82D3-224688DD24A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Arkusz1!$C$128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C6-4DF3-82D3-224688DD24A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Arkusz1!$D$128</c:f>
              <c:numCache>
                <c:formatCode>General</c:formatCode>
                <c:ptCount val="1"/>
                <c:pt idx="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C6-4DF3-82D3-224688DD24A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Arkusz1!$E$128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C6-4DF3-82D3-224688DD24A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Arkusz1!$F$128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C6-4DF3-82D3-224688DD24A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Arkusz1!$G$128</c:f>
              <c:numCache>
                <c:formatCode>General</c:formatCode>
                <c:ptCount val="1"/>
                <c:pt idx="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C6-4DF3-82D3-224688DD24A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Arkusz1!$H$128</c:f>
              <c:numCache>
                <c:formatCode>General</c:formatCode>
                <c:ptCount val="1"/>
                <c:pt idx="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C6-4DF3-82D3-224688DD24A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Arkusz1!$I$128</c:f>
              <c:numCache>
                <c:formatCode>General</c:formatCode>
                <c:ptCount val="1"/>
                <c:pt idx="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C6-4DF3-82D3-224688DD24A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Arkusz1!$J$128</c:f>
              <c:numCache>
                <c:formatCode>General</c:formatCode>
                <c:ptCount val="1"/>
                <c:pt idx="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C6-4DF3-82D3-224688DD24A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Arkusz1!$K$128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C6-4DF3-82D3-224688DD24A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Arkusz1!$L$128</c:f>
              <c:numCache>
                <c:formatCode>General</c:formatCode>
                <c:ptCount val="1"/>
                <c:pt idx="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C6-4DF3-82D3-224688DD24A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Arkusz1!$M$128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7C6-4DF3-82D3-224688DD24A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Arkusz1!$N$128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C6-4DF3-82D3-224688DD24A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Arkusz1!$O$128</c:f>
              <c:numCache>
                <c:formatCode>General</c:formatCode>
                <c:ptCount val="1"/>
                <c:pt idx="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7C6-4DF3-82D3-224688DD24A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Arkusz1!$P$128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7C6-4DF3-82D3-224688DD24A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Arkusz1!$Q$128</c:f>
              <c:numCache>
                <c:formatCode>General</c:formatCode>
                <c:ptCount val="1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7C6-4DF3-82D3-224688DD24A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Arkusz1!$R$128</c:f>
              <c:numCache>
                <c:formatCode>General</c:formatCode>
                <c:ptCount val="1"/>
                <c:pt idx="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7C6-4DF3-82D3-224688DD24A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Arkusz1!$S$128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7C6-4DF3-82D3-224688DD24AF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Arkusz1!$T$128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7C6-4DF3-82D3-224688DD24AF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Arkusz1!$U$128</c:f>
              <c:numCache>
                <c:formatCode>General</c:formatCode>
                <c:ptCount val="1"/>
                <c:pt idx="0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7C6-4DF3-82D3-224688DD24AF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Arkusz1!$V$128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7C6-4DF3-82D3-224688DD24AF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Arkusz1!$W$128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7C6-4DF3-82D3-224688DD24AF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Arkusz1!$X$128</c:f>
              <c:numCache>
                <c:formatCode>General</c:formatCode>
                <c:ptCount val="1"/>
                <c:pt idx="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7C6-4DF3-82D3-224688DD24AF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Arkusz1!$Y$128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7C6-4DF3-82D3-224688DD24AF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Arkusz1!$Z$128</c:f>
              <c:numCache>
                <c:formatCode>General</c:formatCode>
                <c:ptCount val="1"/>
                <c:pt idx="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7C6-4DF3-82D3-224688DD2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836928"/>
        <c:axId val="385837408"/>
      </c:barChart>
      <c:catAx>
        <c:axId val="385836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85837408"/>
        <c:crosses val="autoZero"/>
        <c:auto val="1"/>
        <c:lblAlgn val="ctr"/>
        <c:lblOffset val="100"/>
        <c:noMultiLvlLbl val="0"/>
      </c:catAx>
      <c:valAx>
        <c:axId val="38583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8583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Arkusz1!$B$128:$Z$128</c:f>
              <c:numCache>
                <c:formatCode>General</c:formatCode>
                <c:ptCount val="25"/>
                <c:pt idx="0">
                  <c:v>60</c:v>
                </c:pt>
                <c:pt idx="1">
                  <c:v>64</c:v>
                </c:pt>
                <c:pt idx="2">
                  <c:v>48</c:v>
                </c:pt>
                <c:pt idx="3">
                  <c:v>60</c:v>
                </c:pt>
                <c:pt idx="4">
                  <c:v>46</c:v>
                </c:pt>
                <c:pt idx="5">
                  <c:v>53</c:v>
                </c:pt>
                <c:pt idx="6">
                  <c:v>48</c:v>
                </c:pt>
                <c:pt idx="7">
                  <c:v>53</c:v>
                </c:pt>
                <c:pt idx="8">
                  <c:v>66</c:v>
                </c:pt>
                <c:pt idx="9">
                  <c:v>43</c:v>
                </c:pt>
                <c:pt idx="10">
                  <c:v>62</c:v>
                </c:pt>
                <c:pt idx="11">
                  <c:v>65</c:v>
                </c:pt>
                <c:pt idx="12">
                  <c:v>60</c:v>
                </c:pt>
                <c:pt idx="13">
                  <c:v>57</c:v>
                </c:pt>
                <c:pt idx="14">
                  <c:v>37</c:v>
                </c:pt>
                <c:pt idx="15">
                  <c:v>52</c:v>
                </c:pt>
                <c:pt idx="16">
                  <c:v>59</c:v>
                </c:pt>
                <c:pt idx="17">
                  <c:v>65</c:v>
                </c:pt>
                <c:pt idx="18">
                  <c:v>70</c:v>
                </c:pt>
                <c:pt idx="19">
                  <c:v>74</c:v>
                </c:pt>
                <c:pt idx="20">
                  <c:v>60</c:v>
                </c:pt>
                <c:pt idx="21">
                  <c:v>71</c:v>
                </c:pt>
                <c:pt idx="22">
                  <c:v>63</c:v>
                </c:pt>
                <c:pt idx="23">
                  <c:v>55</c:v>
                </c:pt>
                <c:pt idx="2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0-4879-992C-F00F4A6A93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385836928"/>
        <c:axId val="385837408"/>
      </c:barChart>
      <c:catAx>
        <c:axId val="38583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Pytanie</a:t>
                </a:r>
              </a:p>
            </c:rich>
          </c:tx>
          <c:layout>
            <c:manualLayout>
              <c:xMode val="edge"/>
              <c:yMode val="edge"/>
              <c:x val="0.50249925382149985"/>
              <c:y val="0.915539803694304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85837408"/>
        <c:crosses val="autoZero"/>
        <c:auto val="1"/>
        <c:lblAlgn val="ctr"/>
        <c:lblOffset val="100"/>
        <c:noMultiLvlLbl val="0"/>
      </c:catAx>
      <c:valAx>
        <c:axId val="385837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Poprawnych odpowiedzi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8583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256761</xdr:colOff>
      <xdr:row>9</xdr:row>
      <xdr:rowOff>160683</xdr:rowOff>
    </xdr:from>
    <xdr:to>
      <xdr:col>38</xdr:col>
      <xdr:colOff>538369</xdr:colOff>
      <xdr:row>24</xdr:row>
      <xdr:rowOff>46383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F38B3D0-561D-46E7-97DC-9ABAAD57A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1</xdr:row>
      <xdr:rowOff>142874</xdr:rowOff>
    </xdr:from>
    <xdr:to>
      <xdr:col>30</xdr:col>
      <xdr:colOff>323850</xdr:colOff>
      <xdr:row>23</xdr:row>
      <xdr:rowOff>9525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E31DD36-637A-40D3-8ADE-B84AD6579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571500</xdr:colOff>
      <xdr:row>21</xdr:row>
      <xdr:rowOff>152400</xdr:rowOff>
    </xdr:from>
    <xdr:ext cx="3476625" cy="209550"/>
    <xdr:sp macro="" textlink="">
      <xdr:nvSpPr>
        <xdr:cNvPr id="4" name="Prostokąt 3">
          <a:extLst>
            <a:ext uri="{FF2B5EF4-FFF2-40B4-BE49-F238E27FC236}">
              <a16:creationId xmlns:a16="http://schemas.microsoft.com/office/drawing/2014/main" id="{4330E353-2870-C746-2FA8-089F52377F82}"/>
            </a:ext>
          </a:extLst>
        </xdr:cNvPr>
        <xdr:cNvSpPr/>
      </xdr:nvSpPr>
      <xdr:spPr>
        <a:xfrm>
          <a:off x="1181100" y="4152900"/>
          <a:ext cx="3476625" cy="2095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pl-PL" sz="12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Prehistoria</a:t>
          </a:r>
        </a:p>
        <a:p>
          <a:pPr algn="ctr"/>
          <a:endParaRPr lang="pl-PL" sz="54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383902</xdr:colOff>
      <xdr:row>30</xdr:row>
      <xdr:rowOff>59791</xdr:rowOff>
    </xdr:from>
    <xdr:ext cx="3175549" cy="911759"/>
    <xdr:sp macro="" textlink="">
      <xdr:nvSpPr>
        <xdr:cNvPr id="5" name="Prostokąt 4">
          <a:extLst>
            <a:ext uri="{FF2B5EF4-FFF2-40B4-BE49-F238E27FC236}">
              <a16:creationId xmlns:a16="http://schemas.microsoft.com/office/drawing/2014/main" id="{2E6A4E22-524A-464D-8A59-1A5354335949}"/>
            </a:ext>
          </a:extLst>
        </xdr:cNvPr>
        <xdr:cNvSpPr/>
      </xdr:nvSpPr>
      <xdr:spPr>
        <a:xfrm>
          <a:off x="8308702" y="5774791"/>
          <a:ext cx="3175549" cy="911759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pl-PL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Starożytność</a:t>
          </a:r>
        </a:p>
        <a:p>
          <a:pPr algn="ctr"/>
          <a:endParaRPr lang="pl-PL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0.20783</cdr:x>
      <cdr:y>0.94601</cdr:y>
    </cdr:from>
    <cdr:to>
      <cdr:x>0.422</cdr:x>
      <cdr:y>1</cdr:y>
    </cdr:to>
    <cdr:sp macro="" textlink="">
      <cdr:nvSpPr>
        <cdr:cNvPr id="2" name="Prostokąt 1">
          <a:extLst xmlns:a="http://schemas.openxmlformats.org/drawingml/2006/main">
            <a:ext uri="{FF2B5EF4-FFF2-40B4-BE49-F238E27FC236}">
              <a16:creationId xmlns:a16="http://schemas.microsoft.com/office/drawing/2014/main" id="{4330E353-2870-C746-2FA8-089F52377F82}"/>
            </a:ext>
          </a:extLst>
        </cdr:cNvPr>
        <cdr:cNvSpPr/>
      </cdr:nvSpPr>
      <cdr:spPr>
        <a:xfrm xmlns:a="http://schemas.openxmlformats.org/drawingml/2006/main">
          <a:off x="3743326" y="3838575"/>
          <a:ext cx="3857625" cy="21907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Starożytność</a:t>
          </a:r>
        </a:p>
        <a:p xmlns:a="http://schemas.openxmlformats.org/drawingml/2006/main">
          <a:pPr algn="ctr"/>
          <a:endParaRPr lang="pl-PL" sz="54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0.41883</cdr:x>
      <cdr:y>0.93897</cdr:y>
    </cdr:from>
    <cdr:to>
      <cdr:x>0.6129</cdr:x>
      <cdr:y>1</cdr:y>
    </cdr:to>
    <cdr:sp macro="" textlink="">
      <cdr:nvSpPr>
        <cdr:cNvPr id="3" name="Prostokąt 2">
          <a:extLst xmlns:a="http://schemas.openxmlformats.org/drawingml/2006/main">
            <a:ext uri="{FF2B5EF4-FFF2-40B4-BE49-F238E27FC236}">
              <a16:creationId xmlns:a16="http://schemas.microsoft.com/office/drawing/2014/main" id="{EBF22EC6-C550-14E2-3514-1D23D4C0B22D}"/>
            </a:ext>
          </a:extLst>
        </cdr:cNvPr>
        <cdr:cNvSpPr/>
      </cdr:nvSpPr>
      <cdr:spPr>
        <a:xfrm xmlns:a="http://schemas.openxmlformats.org/drawingml/2006/main">
          <a:off x="7543800" y="3810001"/>
          <a:ext cx="3495676" cy="24765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Średniowiecze</a:t>
          </a:r>
        </a:p>
        <a:p xmlns:a="http://schemas.openxmlformats.org/drawingml/2006/main">
          <a:pPr algn="ctr"/>
          <a:endParaRPr lang="pl-PL" sz="54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0.60656</cdr:x>
      <cdr:y>0.93897</cdr:y>
    </cdr:from>
    <cdr:to>
      <cdr:x>0.80011</cdr:x>
      <cdr:y>1</cdr:y>
    </cdr:to>
    <cdr:sp macro="" textlink="">
      <cdr:nvSpPr>
        <cdr:cNvPr id="4" name="Prostokąt 3">
          <a:extLst xmlns:a="http://schemas.openxmlformats.org/drawingml/2006/main">
            <a:ext uri="{FF2B5EF4-FFF2-40B4-BE49-F238E27FC236}">
              <a16:creationId xmlns:a16="http://schemas.microsoft.com/office/drawing/2014/main" id="{882B06BF-C5DE-EF87-067D-914BF536B1C2}"/>
            </a:ext>
          </a:extLst>
        </cdr:cNvPr>
        <cdr:cNvSpPr/>
      </cdr:nvSpPr>
      <cdr:spPr>
        <a:xfrm xmlns:a="http://schemas.openxmlformats.org/drawingml/2006/main">
          <a:off x="10925177" y="3810001"/>
          <a:ext cx="3486150" cy="24765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Historia</a:t>
          </a:r>
          <a:r>
            <a:rPr lang="pl-PL" sz="12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Nowożytna</a:t>
          </a:r>
          <a:endParaRPr lang="pl-PL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 xmlns:a="http://schemas.openxmlformats.org/drawingml/2006/main">
          <a:pPr algn="ctr"/>
          <a:endParaRPr lang="pl-PL" sz="54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0.80592</cdr:x>
      <cdr:y>0.93897</cdr:y>
    </cdr:from>
    <cdr:to>
      <cdr:x>1</cdr:x>
      <cdr:y>1</cdr:y>
    </cdr:to>
    <cdr:sp macro="" textlink="">
      <cdr:nvSpPr>
        <cdr:cNvPr id="5" name="Prostokąt 4">
          <a:extLst xmlns:a="http://schemas.openxmlformats.org/drawingml/2006/main">
            <a:ext uri="{FF2B5EF4-FFF2-40B4-BE49-F238E27FC236}">
              <a16:creationId xmlns:a16="http://schemas.microsoft.com/office/drawing/2014/main" id="{882B06BF-C5DE-EF87-067D-914BF536B1C2}"/>
            </a:ext>
          </a:extLst>
        </cdr:cNvPr>
        <cdr:cNvSpPr/>
      </cdr:nvSpPr>
      <cdr:spPr>
        <a:xfrm xmlns:a="http://schemas.openxmlformats.org/drawingml/2006/main">
          <a:off x="14516100" y="3810001"/>
          <a:ext cx="3495676" cy="24765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Historia</a:t>
          </a:r>
          <a:r>
            <a:rPr lang="pl-PL" sz="12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Najnowsza</a:t>
          </a:r>
        </a:p>
        <a:p xmlns:a="http://schemas.openxmlformats.org/drawingml/2006/main">
          <a:pPr algn="ctr"/>
          <a:endParaRPr lang="pl-PL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 xmlns:a="http://schemas.openxmlformats.org/drawingml/2006/main">
          <a:pPr algn="ctr"/>
          <a:endParaRPr lang="pl-PL" sz="54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C4CB53-565E-4B25-9A0F-BD372B9FBDF4}" name="Tabela1" displayName="Tabela1" ref="A1:AC128" totalsRowCount="1">
  <autoFilter ref="A1:AC127" xr:uid="{7DC4CB53-565E-4B25-9A0F-BD372B9FBDF4}"/>
  <sortState xmlns:xlrd2="http://schemas.microsoft.com/office/spreadsheetml/2017/richdata2" ref="A2:AC127">
    <sortCondition ref="A1:A127"/>
  </sortState>
  <tableColumns count="29">
    <tableColumn id="1" xr3:uid="{4BE880F8-4E34-4EA8-937A-D9E482370C52}" name="Nr_ucznia"/>
    <tableColumn id="2" xr3:uid="{839DC244-C470-48E9-8968-3BC031FA20A7}" name="1" totalsRowFunction="custom">
      <totalsRowFormula>SUM(Tabela1[1])</totalsRowFormula>
    </tableColumn>
    <tableColumn id="3" xr3:uid="{999D24B5-0220-4533-ABE1-7D85E6AEEECC}" name="2" totalsRowFunction="custom">
      <totalsRowFormula>SUM(Tabela1[2])</totalsRowFormula>
    </tableColumn>
    <tableColumn id="4" xr3:uid="{20714E68-F753-4239-B714-0F8A4D92AC49}" name="3" totalsRowFunction="custom">
      <totalsRowFormula>SUM(Tabela1[3])</totalsRowFormula>
    </tableColumn>
    <tableColumn id="5" xr3:uid="{0D9DD8E8-09A5-4C9D-BB01-51D643F687C9}" name="4" totalsRowFunction="custom">
      <totalsRowFormula>SUM(Tabela1[4])</totalsRowFormula>
    </tableColumn>
    <tableColumn id="6" xr3:uid="{85C3AC2D-1806-4D2A-BDAD-A3338B595762}" name="5" totalsRowFunction="custom">
      <totalsRowFormula>SUM(Tabela1[5])</totalsRowFormula>
    </tableColumn>
    <tableColumn id="7" xr3:uid="{9124898A-BCFC-427F-B08A-F58A57DA2F7B}" name="6" totalsRowFunction="custom">
      <totalsRowFormula>SUM(Tabela1[6])</totalsRowFormula>
    </tableColumn>
    <tableColumn id="8" xr3:uid="{C0C8C1F7-2794-4C69-8A62-F1913F6A1967}" name="7" totalsRowFunction="custom">
      <totalsRowFormula>SUM(Tabela1[7])</totalsRowFormula>
    </tableColumn>
    <tableColumn id="9" xr3:uid="{206D13FD-D5A6-42CE-89D4-1E3C1F217490}" name="8" totalsRowFunction="custom">
      <totalsRowFormula>SUM(Tabela1[8])</totalsRowFormula>
    </tableColumn>
    <tableColumn id="10" xr3:uid="{1746D1A2-7C76-4D2A-B910-47B3151CC6D2}" name="9" totalsRowFunction="custom">
      <totalsRowFormula>SUM(Tabela1[9])</totalsRowFormula>
    </tableColumn>
    <tableColumn id="11" xr3:uid="{040E149A-07AA-4B44-98D0-B4C5BC3FD28A}" name="10" totalsRowFunction="custom">
      <totalsRowFormula>SUM(Tabela1[10])</totalsRowFormula>
    </tableColumn>
    <tableColumn id="12" xr3:uid="{6D02DC43-62C3-4A5C-92A6-E761519A7D76}" name="11" totalsRowFunction="custom">
      <totalsRowFormula>SUM(Tabela1[11])</totalsRowFormula>
    </tableColumn>
    <tableColumn id="13" xr3:uid="{4BD69964-256A-4F82-8904-E637DF8C3323}" name="12" totalsRowFunction="custom">
      <totalsRowFormula>SUM(Tabela1[12])</totalsRowFormula>
    </tableColumn>
    <tableColumn id="14" xr3:uid="{5AF42897-541B-41BF-968B-9448987627BB}" name="13" totalsRowFunction="custom">
      <totalsRowFormula>SUM(Tabela1[13])</totalsRowFormula>
    </tableColumn>
    <tableColumn id="15" xr3:uid="{BE0D037C-2BB4-4EC0-A58C-826F73BB24F7}" name="14" totalsRowFunction="custom">
      <totalsRowFormula>SUM(Tabela1[14])</totalsRowFormula>
    </tableColumn>
    <tableColumn id="16" xr3:uid="{AF030220-FF82-4071-96A0-1B7995820545}" name="15" totalsRowFunction="custom">
      <totalsRowFormula>SUM(Tabela1[15])</totalsRowFormula>
    </tableColumn>
    <tableColumn id="17" xr3:uid="{229FF7FD-E2EB-453C-AF75-CBFF8F6E7EAF}" name="16" totalsRowFunction="custom">
      <totalsRowFormula>SUM(Tabela1[16])</totalsRowFormula>
    </tableColumn>
    <tableColumn id="18" xr3:uid="{0CFEFAD2-6C39-46A2-96C8-55BBB847204E}" name="17" totalsRowFunction="custom">
      <totalsRowFormula>SUM(Tabela1[17])</totalsRowFormula>
    </tableColumn>
    <tableColumn id="19" xr3:uid="{9E070052-1294-4B2E-8A62-5CDD35E0B9B8}" name="18" totalsRowFunction="custom">
      <totalsRowFormula>SUM(Tabela1[18])</totalsRowFormula>
    </tableColumn>
    <tableColumn id="20" xr3:uid="{FE85E3FA-CE27-4A5F-9C2E-25FBC9A74B3E}" name="19" totalsRowFunction="custom">
      <totalsRowFormula>SUM(Tabela1[19])</totalsRowFormula>
    </tableColumn>
    <tableColumn id="21" xr3:uid="{7D226FBA-D55D-48CC-9CD8-F6C3E8CC9E64}" name="20" totalsRowFunction="custom">
      <totalsRowFormula>SUM(Tabela1[20])</totalsRowFormula>
    </tableColumn>
    <tableColumn id="22" xr3:uid="{7A66E00D-9CC6-4799-A803-57329C5DBF02}" name="21" totalsRowFunction="custom">
      <totalsRowFormula>SUM(Tabela1[21])</totalsRowFormula>
    </tableColumn>
    <tableColumn id="23" xr3:uid="{3743B2AF-4E62-46CE-8545-80F41126D169}" name="22" totalsRowFunction="custom">
      <totalsRowFormula>SUM(Tabela1[22])</totalsRowFormula>
    </tableColumn>
    <tableColumn id="24" xr3:uid="{06A1C779-79B3-4522-950E-7636CDE6B21A}" name="23" totalsRowFunction="custom">
      <totalsRowFormula>SUM(Tabela1[23])</totalsRowFormula>
    </tableColumn>
    <tableColumn id="25" xr3:uid="{AC38F81D-C0DE-40C9-B3AF-15A0C032BDEE}" name="24" totalsRowFunction="custom">
      <totalsRowFormula>SUM(Tabela1[24])</totalsRowFormula>
    </tableColumn>
    <tableColumn id="26" xr3:uid="{1ACD1612-D8EC-4658-9983-E10B64F0129F}" name="25" totalsRowFunction="custom">
      <totalsRowFormula>SUM(Tabela1[25])</totalsRowFormula>
    </tableColumn>
    <tableColumn id="27" xr3:uid="{0DCAD62F-C859-4BF4-8518-5633CEC5065B}" name="Wynik pkt" dataDxfId="2">
      <calculatedColumnFormula>SUM(Tabela1[[#This Row],[1]:[25]])</calculatedColumnFormula>
    </tableColumn>
    <tableColumn id="28" xr3:uid="{E539F855-C175-4D15-90C6-0FF7F8BD12A8}" name="Wynik %" dataDxfId="1">
      <calculatedColumnFormula>Tabela1[[#This Row],[Wynik pkt]]/25</calculatedColumnFormula>
    </tableColumn>
    <tableColumn id="29" xr3:uid="{F0A62FD2-B515-4EF5-8ACB-7459CF18717D}" name="Czy osoba odpowiedziala dobrze na 5,15,25" dataDxfId="0">
      <calculatedColumnFormula>IF(AND(Tabela1[[#This Row],[5]],Tabela1[[#This Row],[15]],Tabela1[[#This Row],[25]]),1,0)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7DB0-388D-49F8-8B34-2406DCC7F268}">
  <dimension ref="A1:AC136"/>
  <sheetViews>
    <sheetView topLeftCell="A81" zoomScale="115" zoomScaleNormal="115" workbookViewId="0">
      <selection activeCell="B128" sqref="B128:Z128"/>
    </sheetView>
  </sheetViews>
  <sheetFormatPr defaultRowHeight="15" x14ac:dyDescent="0.25"/>
  <cols>
    <col min="1" max="1" width="17.28515625" bestFit="1" customWidth="1"/>
    <col min="2" max="10" width="4.140625" customWidth="1"/>
    <col min="11" max="25" width="5.140625" customWidth="1"/>
    <col min="26" max="26" width="5.28515625" bestFit="1" customWidth="1"/>
    <col min="29" max="29" width="42.42578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28</v>
      </c>
      <c r="AB1" t="s">
        <v>27</v>
      </c>
      <c r="AC1" t="s">
        <v>29</v>
      </c>
    </row>
    <row r="2" spans="1:29" x14ac:dyDescent="0.25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f>SUM(Tabela1[[#This Row],[1]:[25]])</f>
        <v>11</v>
      </c>
      <c r="AB2">
        <f>Tabela1[[#This Row],[Wynik pkt]]/25</f>
        <v>0.44</v>
      </c>
      <c r="AC2">
        <f>IF(AND(Tabela1[[#This Row],[5]],Tabela1[[#This Row],[15]],Tabela1[[#This Row],[25]]),1,0)</f>
        <v>0</v>
      </c>
    </row>
    <row r="3" spans="1:29" x14ac:dyDescent="0.25">
      <c r="A3">
        <v>2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1</v>
      </c>
      <c r="AA3">
        <f>SUM(Tabela1[[#This Row],[1]:[25]])</f>
        <v>12</v>
      </c>
      <c r="AB3">
        <f>Tabela1[[#This Row],[Wynik pkt]]/25</f>
        <v>0.48</v>
      </c>
      <c r="AC3">
        <f>IF(AND(Tabela1[[#This Row],[5]],Tabela1[[#This Row],[15]],Tabela1[[#This Row],[25]]),1,0)</f>
        <v>1</v>
      </c>
    </row>
    <row r="4" spans="1:29" x14ac:dyDescent="0.25">
      <c r="A4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1</v>
      </c>
      <c r="Z4">
        <v>0</v>
      </c>
      <c r="AA4">
        <f>SUM(Tabela1[[#This Row],[1]:[25]])</f>
        <v>13</v>
      </c>
      <c r="AB4">
        <f>Tabela1[[#This Row],[Wynik pkt]]/25</f>
        <v>0.52</v>
      </c>
      <c r="AC4">
        <f>IF(AND(Tabela1[[#This Row],[5]],Tabela1[[#This Row],[15]],Tabela1[[#This Row],[25]]),1,0)</f>
        <v>0</v>
      </c>
    </row>
    <row r="5" spans="1:29" x14ac:dyDescent="0.2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f>SUM(Tabela1[[#This Row],[1]:[25]])</f>
        <v>10</v>
      </c>
      <c r="AB5">
        <f>Tabela1[[#This Row],[Wynik pkt]]/25</f>
        <v>0.4</v>
      </c>
      <c r="AC5">
        <f>IF(AND(Tabela1[[#This Row],[5]],Tabela1[[#This Row],[15]],Tabela1[[#This Row],[25]]),1,0)</f>
        <v>0</v>
      </c>
    </row>
    <row r="6" spans="1:29" x14ac:dyDescent="0.25">
      <c r="A6">
        <v>5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f>SUM(Tabela1[[#This Row],[1]:[25]])</f>
        <v>11</v>
      </c>
      <c r="AB6">
        <f>Tabela1[[#This Row],[Wynik pkt]]/25</f>
        <v>0.44</v>
      </c>
      <c r="AC6">
        <f>IF(AND(Tabela1[[#This Row],[5]],Tabela1[[#This Row],[15]],Tabela1[[#This Row],[25]]),1,0)</f>
        <v>0</v>
      </c>
    </row>
    <row r="7" spans="1:29" x14ac:dyDescent="0.25">
      <c r="A7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f>SUM(Tabela1[[#This Row],[1]:[25]])</f>
        <v>12</v>
      </c>
      <c r="AB7">
        <f>Tabela1[[#This Row],[Wynik pkt]]/25</f>
        <v>0.48</v>
      </c>
      <c r="AC7">
        <f>IF(AND(Tabela1[[#This Row],[5]],Tabela1[[#This Row],[15]],Tabela1[[#This Row],[25]]),1,0)</f>
        <v>0</v>
      </c>
    </row>
    <row r="8" spans="1:29" x14ac:dyDescent="0.25">
      <c r="A8">
        <v>7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f>SUM(Tabela1[[#This Row],[1]:[25]])</f>
        <v>12</v>
      </c>
      <c r="AB8">
        <f>Tabela1[[#This Row],[Wynik pkt]]/25</f>
        <v>0.48</v>
      </c>
      <c r="AC8">
        <f>IF(AND(Tabela1[[#This Row],[5]],Tabela1[[#This Row],[15]],Tabela1[[#This Row],[25]]),1,0)</f>
        <v>0</v>
      </c>
    </row>
    <row r="9" spans="1:29" x14ac:dyDescent="0.25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f>SUM(Tabela1[[#This Row],[1]:[25]])</f>
        <v>9</v>
      </c>
      <c r="AB9">
        <f>Tabela1[[#This Row],[Wynik pkt]]/25</f>
        <v>0.36</v>
      </c>
      <c r="AC9">
        <f>IF(AND(Tabela1[[#This Row],[5]],Tabela1[[#This Row],[15]],Tabela1[[#This Row],[25]]),1,0)</f>
        <v>0</v>
      </c>
    </row>
    <row r="10" spans="1:29" x14ac:dyDescent="0.25">
      <c r="A10">
        <v>9</v>
      </c>
      <c r="B10">
        <v>0</v>
      </c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f>SUM(Tabela1[[#This Row],[1]:[25]])</f>
        <v>9</v>
      </c>
      <c r="AB10">
        <f>Tabela1[[#This Row],[Wynik pkt]]/25</f>
        <v>0.36</v>
      </c>
      <c r="AC10">
        <f>IF(AND(Tabela1[[#This Row],[5]],Tabela1[[#This Row],[15]],Tabela1[[#This Row],[25]]),1,0)</f>
        <v>0</v>
      </c>
    </row>
    <row r="11" spans="1:29" x14ac:dyDescent="0.25">
      <c r="A11">
        <v>10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f>SUM(Tabela1[[#This Row],[1]:[25]])</f>
        <v>8</v>
      </c>
      <c r="AB11">
        <f>Tabela1[[#This Row],[Wynik pkt]]/25</f>
        <v>0.32</v>
      </c>
      <c r="AC11">
        <f>IF(AND(Tabela1[[#This Row],[5]],Tabela1[[#This Row],[15]],Tabela1[[#This Row],[25]]),1,0)</f>
        <v>0</v>
      </c>
    </row>
    <row r="12" spans="1:29" x14ac:dyDescent="0.25">
      <c r="A12">
        <v>11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f>SUM(Tabela1[[#This Row],[1]:[25]])</f>
        <v>13</v>
      </c>
      <c r="AB12">
        <f>Tabela1[[#This Row],[Wynik pkt]]/25</f>
        <v>0.52</v>
      </c>
      <c r="AC12">
        <f>IF(AND(Tabela1[[#This Row],[5]],Tabela1[[#This Row],[15]],Tabela1[[#This Row],[25]]),1,0)</f>
        <v>0</v>
      </c>
    </row>
    <row r="13" spans="1:29" x14ac:dyDescent="0.25">
      <c r="A13">
        <v>12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1</v>
      </c>
      <c r="AA13">
        <f>SUM(Tabela1[[#This Row],[1]:[25]])</f>
        <v>10</v>
      </c>
      <c r="AB13">
        <f>Tabela1[[#This Row],[Wynik pkt]]/25</f>
        <v>0.4</v>
      </c>
      <c r="AC13">
        <f>IF(AND(Tabela1[[#This Row],[5]],Tabela1[[#This Row],[15]],Tabela1[[#This Row],[25]]),1,0)</f>
        <v>0</v>
      </c>
    </row>
    <row r="14" spans="1:29" x14ac:dyDescent="0.25">
      <c r="A14">
        <v>13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f>SUM(Tabela1[[#This Row],[1]:[25]])</f>
        <v>13</v>
      </c>
      <c r="AB14">
        <f>Tabela1[[#This Row],[Wynik pkt]]/25</f>
        <v>0.52</v>
      </c>
      <c r="AC14">
        <f>IF(AND(Tabela1[[#This Row],[5]],Tabela1[[#This Row],[15]],Tabela1[[#This Row],[25]]),1,0)</f>
        <v>0</v>
      </c>
    </row>
    <row r="15" spans="1:29" x14ac:dyDescent="0.25">
      <c r="A15">
        <v>14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f>SUM(Tabela1[[#This Row],[1]:[25]])</f>
        <v>8</v>
      </c>
      <c r="AB15">
        <f>Tabela1[[#This Row],[Wynik pkt]]/25</f>
        <v>0.32</v>
      </c>
      <c r="AC15">
        <f>IF(AND(Tabela1[[#This Row],[5]],Tabela1[[#This Row],[15]],Tabela1[[#This Row],[25]]),1,0)</f>
        <v>0</v>
      </c>
    </row>
    <row r="16" spans="1:29" x14ac:dyDescent="0.25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f>SUM(Tabela1[[#This Row],[1]:[25]])</f>
        <v>11</v>
      </c>
      <c r="AB16">
        <f>Tabela1[[#This Row],[Wynik pkt]]/25</f>
        <v>0.44</v>
      </c>
      <c r="AC16">
        <f>IF(AND(Tabela1[[#This Row],[5]],Tabela1[[#This Row],[15]],Tabela1[[#This Row],[25]]),1,0)</f>
        <v>0</v>
      </c>
    </row>
    <row r="17" spans="1:29" x14ac:dyDescent="0.2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>
        <f>SUM(Tabela1[[#This Row],[1]:[25]])</f>
        <v>10</v>
      </c>
      <c r="AB17">
        <f>Tabela1[[#This Row],[Wynik pkt]]/25</f>
        <v>0.4</v>
      </c>
      <c r="AC17">
        <f>IF(AND(Tabela1[[#This Row],[5]],Tabela1[[#This Row],[15]],Tabela1[[#This Row],[25]]),1,0)</f>
        <v>0</v>
      </c>
    </row>
    <row r="18" spans="1:29" x14ac:dyDescent="0.2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f>SUM(Tabela1[[#This Row],[1]:[25]])</f>
        <v>11</v>
      </c>
      <c r="AB18">
        <f>Tabela1[[#This Row],[Wynik pkt]]/25</f>
        <v>0.44</v>
      </c>
      <c r="AC18">
        <f>IF(AND(Tabela1[[#This Row],[5]],Tabela1[[#This Row],[15]],Tabela1[[#This Row],[25]]),1,0)</f>
        <v>0</v>
      </c>
    </row>
    <row r="19" spans="1:29" x14ac:dyDescent="0.25">
      <c r="A19">
        <v>18</v>
      </c>
      <c r="B19">
        <v>1</v>
      </c>
      <c r="C19">
        <v>1</v>
      </c>
      <c r="D19">
        <v>1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  <c r="AA19">
        <f>SUM(Tabela1[[#This Row],[1]:[25]])</f>
        <v>10</v>
      </c>
      <c r="AB19">
        <f>Tabela1[[#This Row],[Wynik pkt]]/25</f>
        <v>0.4</v>
      </c>
      <c r="AC19">
        <f>IF(AND(Tabela1[[#This Row],[5]],Tabela1[[#This Row],[15]],Tabela1[[#This Row],[25]]),1,0)</f>
        <v>0</v>
      </c>
    </row>
    <row r="20" spans="1:29" x14ac:dyDescent="0.25">
      <c r="A20">
        <v>19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f>SUM(Tabela1[[#This Row],[1]:[25]])</f>
        <v>16</v>
      </c>
      <c r="AB20">
        <f>Tabela1[[#This Row],[Wynik pkt]]/25</f>
        <v>0.64</v>
      </c>
      <c r="AC20">
        <f>IF(AND(Tabela1[[#This Row],[5]],Tabela1[[#This Row],[15]],Tabela1[[#This Row],[25]]),1,0)</f>
        <v>0</v>
      </c>
    </row>
    <row r="21" spans="1:29" x14ac:dyDescent="0.25">
      <c r="A21">
        <v>20</v>
      </c>
      <c r="B21">
        <v>1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f>SUM(Tabela1[[#This Row],[1]:[25]])</f>
        <v>11</v>
      </c>
      <c r="AB21">
        <f>Tabela1[[#This Row],[Wynik pkt]]/25</f>
        <v>0.44</v>
      </c>
      <c r="AC21">
        <f>IF(AND(Tabela1[[#This Row],[5]],Tabela1[[#This Row],[15]],Tabela1[[#This Row],[25]]),1,0)</f>
        <v>0</v>
      </c>
    </row>
    <row r="22" spans="1:29" x14ac:dyDescent="0.25">
      <c r="A22">
        <v>21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1</v>
      </c>
      <c r="Y22">
        <v>1</v>
      </c>
      <c r="Z22">
        <v>0</v>
      </c>
      <c r="AA22">
        <f>SUM(Tabela1[[#This Row],[1]:[25]])</f>
        <v>11</v>
      </c>
      <c r="AB22">
        <f>Tabela1[[#This Row],[Wynik pkt]]/25</f>
        <v>0.44</v>
      </c>
      <c r="AC22">
        <f>IF(AND(Tabela1[[#This Row],[5]],Tabela1[[#This Row],[15]],Tabela1[[#This Row],[25]]),1,0)</f>
        <v>0</v>
      </c>
    </row>
    <row r="23" spans="1:29" x14ac:dyDescent="0.25">
      <c r="A23">
        <v>22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  <c r="AA23">
        <f>SUM(Tabela1[[#This Row],[1]:[25]])</f>
        <v>19</v>
      </c>
      <c r="AB23">
        <f>Tabela1[[#This Row],[Wynik pkt]]/25</f>
        <v>0.76</v>
      </c>
      <c r="AC23">
        <f>IF(AND(Tabela1[[#This Row],[5]],Tabela1[[#This Row],[15]],Tabela1[[#This Row],[25]]),1,0)</f>
        <v>0</v>
      </c>
    </row>
    <row r="24" spans="1:29" x14ac:dyDescent="0.25">
      <c r="A24">
        <v>23</v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f>SUM(Tabela1[[#This Row],[1]:[25]])</f>
        <v>12</v>
      </c>
      <c r="AB24">
        <f>Tabela1[[#This Row],[Wynik pkt]]/25</f>
        <v>0.48</v>
      </c>
      <c r="AC24">
        <f>IF(AND(Tabela1[[#This Row],[5]],Tabela1[[#This Row],[15]],Tabela1[[#This Row],[25]]),1,0)</f>
        <v>0</v>
      </c>
    </row>
    <row r="25" spans="1:29" x14ac:dyDescent="0.25">
      <c r="A25">
        <v>24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f>SUM(Tabela1[[#This Row],[1]:[25]])</f>
        <v>13</v>
      </c>
      <c r="AB25">
        <f>Tabela1[[#This Row],[Wynik pkt]]/25</f>
        <v>0.52</v>
      </c>
      <c r="AC25">
        <f>IF(AND(Tabela1[[#This Row],[5]],Tabela1[[#This Row],[15]],Tabela1[[#This Row],[25]]),1,0)</f>
        <v>0</v>
      </c>
    </row>
    <row r="26" spans="1:29" x14ac:dyDescent="0.25">
      <c r="A26">
        <v>25</v>
      </c>
      <c r="B26">
        <v>0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f>SUM(Tabela1[[#This Row],[1]:[25]])</f>
        <v>16</v>
      </c>
      <c r="AB26">
        <f>Tabela1[[#This Row],[Wynik pkt]]/25</f>
        <v>0.64</v>
      </c>
      <c r="AC26">
        <f>IF(AND(Tabela1[[#This Row],[5]],Tabela1[[#This Row],[15]],Tabela1[[#This Row],[25]]),1,0)</f>
        <v>0</v>
      </c>
    </row>
    <row r="27" spans="1:29" x14ac:dyDescent="0.25">
      <c r="A27">
        <v>26</v>
      </c>
      <c r="B27">
        <v>0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f>SUM(Tabela1[[#This Row],[1]:[25]])</f>
        <v>11</v>
      </c>
      <c r="AB27">
        <f>Tabela1[[#This Row],[Wynik pkt]]/25</f>
        <v>0.44</v>
      </c>
      <c r="AC27">
        <f>IF(AND(Tabela1[[#This Row],[5]],Tabela1[[#This Row],[15]],Tabela1[[#This Row],[25]]),1,0)</f>
        <v>0</v>
      </c>
    </row>
    <row r="28" spans="1:29" x14ac:dyDescent="0.25">
      <c r="A28">
        <v>27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1</v>
      </c>
      <c r="AA28">
        <f>SUM(Tabela1[[#This Row],[1]:[25]])</f>
        <v>14</v>
      </c>
      <c r="AB28">
        <f>Tabela1[[#This Row],[Wynik pkt]]/25</f>
        <v>0.56000000000000005</v>
      </c>
      <c r="AC28">
        <f>IF(AND(Tabela1[[#This Row],[5]],Tabela1[[#This Row],[15]],Tabela1[[#This Row],[25]]),1,0)</f>
        <v>0</v>
      </c>
    </row>
    <row r="29" spans="1:29" x14ac:dyDescent="0.25">
      <c r="A29"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1</v>
      </c>
      <c r="Z29">
        <v>1</v>
      </c>
      <c r="AA29">
        <f>SUM(Tabela1[[#This Row],[1]:[25]])</f>
        <v>9</v>
      </c>
      <c r="AB29">
        <f>Tabela1[[#This Row],[Wynik pkt]]/25</f>
        <v>0.36</v>
      </c>
      <c r="AC29">
        <f>IF(AND(Tabela1[[#This Row],[5]],Tabela1[[#This Row],[15]],Tabela1[[#This Row],[25]]),1,0)</f>
        <v>0</v>
      </c>
    </row>
    <row r="30" spans="1:29" x14ac:dyDescent="0.25">
      <c r="A30">
        <v>29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>
        <f>SUM(Tabela1[[#This Row],[1]:[25]])</f>
        <v>11</v>
      </c>
      <c r="AB30">
        <f>Tabela1[[#This Row],[Wynik pkt]]/25</f>
        <v>0.44</v>
      </c>
      <c r="AC30">
        <f>IF(AND(Tabela1[[#This Row],[5]],Tabela1[[#This Row],[15]],Tabela1[[#This Row],[25]]),1,0)</f>
        <v>0</v>
      </c>
    </row>
    <row r="31" spans="1:29" x14ac:dyDescent="0.25">
      <c r="A31">
        <v>30</v>
      </c>
      <c r="B31">
        <v>0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1</v>
      </c>
      <c r="AA31">
        <f>SUM(Tabela1[[#This Row],[1]:[25]])</f>
        <v>13</v>
      </c>
      <c r="AB31">
        <f>Tabela1[[#This Row],[Wynik pkt]]/25</f>
        <v>0.52</v>
      </c>
      <c r="AC31">
        <f>IF(AND(Tabela1[[#This Row],[5]],Tabela1[[#This Row],[15]],Tabela1[[#This Row],[25]]),1,0)</f>
        <v>0</v>
      </c>
    </row>
    <row r="32" spans="1:29" x14ac:dyDescent="0.25">
      <c r="A32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f>SUM(Tabela1[[#This Row],[1]:[25]])</f>
        <v>9</v>
      </c>
      <c r="AB32">
        <f>Tabela1[[#This Row],[Wynik pkt]]/25</f>
        <v>0.36</v>
      </c>
      <c r="AC32">
        <f>IF(AND(Tabela1[[#This Row],[5]],Tabela1[[#This Row],[15]],Tabela1[[#This Row],[25]]),1,0)</f>
        <v>0</v>
      </c>
    </row>
    <row r="33" spans="1:29" x14ac:dyDescent="0.25">
      <c r="A33">
        <v>32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f>SUM(Tabela1[[#This Row],[1]:[25]])</f>
        <v>11</v>
      </c>
      <c r="AB33">
        <f>Tabela1[[#This Row],[Wynik pkt]]/25</f>
        <v>0.44</v>
      </c>
      <c r="AC33">
        <f>IF(AND(Tabela1[[#This Row],[5]],Tabela1[[#This Row],[15]],Tabela1[[#This Row],[25]]),1,0)</f>
        <v>0</v>
      </c>
    </row>
    <row r="34" spans="1:29" x14ac:dyDescent="0.25">
      <c r="A34">
        <v>33</v>
      </c>
      <c r="B34">
        <v>0</v>
      </c>
      <c r="C34">
        <v>0</v>
      </c>
      <c r="D34">
        <v>0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f>SUM(Tabela1[[#This Row],[1]:[25]])</f>
        <v>10</v>
      </c>
      <c r="AB34">
        <f>Tabela1[[#This Row],[Wynik pkt]]/25</f>
        <v>0.4</v>
      </c>
      <c r="AC34">
        <f>IF(AND(Tabela1[[#This Row],[5]],Tabela1[[#This Row],[15]],Tabela1[[#This Row],[25]]),1,0)</f>
        <v>0</v>
      </c>
    </row>
    <row r="35" spans="1:29" x14ac:dyDescent="0.25">
      <c r="A35">
        <v>34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f>SUM(Tabela1[[#This Row],[1]:[25]])</f>
        <v>8</v>
      </c>
      <c r="AB35">
        <f>Tabela1[[#This Row],[Wynik pkt]]/25</f>
        <v>0.32</v>
      </c>
      <c r="AC35">
        <f>IF(AND(Tabela1[[#This Row],[5]],Tabela1[[#This Row],[15]],Tabela1[[#This Row],[25]]),1,0)</f>
        <v>0</v>
      </c>
    </row>
    <row r="36" spans="1:29" x14ac:dyDescent="0.25">
      <c r="A36">
        <v>35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1</v>
      </c>
      <c r="R36">
        <v>1</v>
      </c>
      <c r="S36">
        <v>0</v>
      </c>
      <c r="T36">
        <v>1</v>
      </c>
      <c r="U36">
        <v>1</v>
      </c>
      <c r="V36">
        <v>0</v>
      </c>
      <c r="W36">
        <v>1</v>
      </c>
      <c r="X36">
        <v>0</v>
      </c>
      <c r="Y36">
        <v>0</v>
      </c>
      <c r="Z36">
        <v>1</v>
      </c>
      <c r="AA36">
        <f>SUM(Tabela1[[#This Row],[1]:[25]])</f>
        <v>10</v>
      </c>
      <c r="AB36">
        <f>Tabela1[[#This Row],[Wynik pkt]]/25</f>
        <v>0.4</v>
      </c>
      <c r="AC36">
        <f>IF(AND(Tabela1[[#This Row],[5]],Tabela1[[#This Row],[15]],Tabela1[[#This Row],[25]]),1,0)</f>
        <v>0</v>
      </c>
    </row>
    <row r="37" spans="1:29" x14ac:dyDescent="0.25">
      <c r="A37">
        <v>36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f>SUM(Tabela1[[#This Row],[1]:[25]])</f>
        <v>16</v>
      </c>
      <c r="AB37">
        <f>Tabela1[[#This Row],[Wynik pkt]]/25</f>
        <v>0.64</v>
      </c>
      <c r="AC37">
        <f>IF(AND(Tabela1[[#This Row],[5]],Tabela1[[#This Row],[15]],Tabela1[[#This Row],[25]]),1,0)</f>
        <v>0</v>
      </c>
    </row>
    <row r="38" spans="1:29" x14ac:dyDescent="0.25">
      <c r="A38">
        <v>37</v>
      </c>
      <c r="B38">
        <v>1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  <c r="AA38">
        <f>SUM(Tabela1[[#This Row],[1]:[25]])</f>
        <v>11</v>
      </c>
      <c r="AB38">
        <f>Tabela1[[#This Row],[Wynik pkt]]/25</f>
        <v>0.44</v>
      </c>
      <c r="AC38">
        <f>IF(AND(Tabela1[[#This Row],[5]],Tabela1[[#This Row],[15]],Tabela1[[#This Row],[25]]),1,0)</f>
        <v>0</v>
      </c>
    </row>
    <row r="39" spans="1:29" x14ac:dyDescent="0.25">
      <c r="A39">
        <v>38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1</v>
      </c>
      <c r="AA39">
        <f>SUM(Tabela1[[#This Row],[1]:[25]])</f>
        <v>17</v>
      </c>
      <c r="AB39">
        <f>Tabela1[[#This Row],[Wynik pkt]]/25</f>
        <v>0.68</v>
      </c>
      <c r="AC39">
        <f>IF(AND(Tabela1[[#This Row],[5]],Tabela1[[#This Row],[15]],Tabela1[[#This Row],[25]]),1,0)</f>
        <v>0</v>
      </c>
    </row>
    <row r="40" spans="1:29" x14ac:dyDescent="0.25">
      <c r="A40">
        <v>39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  <c r="AA40">
        <f>SUM(Tabela1[[#This Row],[1]:[25]])</f>
        <v>19</v>
      </c>
      <c r="AB40">
        <f>Tabela1[[#This Row],[Wynik pkt]]/25</f>
        <v>0.76</v>
      </c>
      <c r="AC40">
        <f>IF(AND(Tabela1[[#This Row],[5]],Tabela1[[#This Row],[15]],Tabela1[[#This Row],[25]]),1,0)</f>
        <v>0</v>
      </c>
    </row>
    <row r="41" spans="1:29" x14ac:dyDescent="0.25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  <c r="AA41">
        <f>SUM(Tabela1[[#This Row],[1]:[25]])</f>
        <v>13</v>
      </c>
      <c r="AB41">
        <f>Tabela1[[#This Row],[Wynik pkt]]/25</f>
        <v>0.52</v>
      </c>
      <c r="AC41">
        <f>IF(AND(Tabela1[[#This Row],[5]],Tabela1[[#This Row],[15]],Tabela1[[#This Row],[25]]),1,0)</f>
        <v>0</v>
      </c>
    </row>
    <row r="42" spans="1:29" x14ac:dyDescent="0.25">
      <c r="A42">
        <v>41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  <c r="AA42">
        <f>SUM(Tabela1[[#This Row],[1]:[25]])</f>
        <v>13</v>
      </c>
      <c r="AB42">
        <f>Tabela1[[#This Row],[Wynik pkt]]/25</f>
        <v>0.52</v>
      </c>
      <c r="AC42">
        <f>IF(AND(Tabela1[[#This Row],[5]],Tabela1[[#This Row],[15]],Tabela1[[#This Row],[25]]),1,0)</f>
        <v>0</v>
      </c>
    </row>
    <row r="43" spans="1:29" x14ac:dyDescent="0.25">
      <c r="A43">
        <v>42</v>
      </c>
      <c r="B43">
        <v>1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f>SUM(Tabela1[[#This Row],[1]:[25]])</f>
        <v>14</v>
      </c>
      <c r="AB43">
        <f>Tabela1[[#This Row],[Wynik pkt]]/25</f>
        <v>0.56000000000000005</v>
      </c>
      <c r="AC43">
        <f>IF(AND(Tabela1[[#This Row],[5]],Tabela1[[#This Row],[15]],Tabela1[[#This Row],[25]]),1,0)</f>
        <v>0</v>
      </c>
    </row>
    <row r="44" spans="1:29" x14ac:dyDescent="0.25">
      <c r="A44">
        <v>43</v>
      </c>
      <c r="B44">
        <v>1</v>
      </c>
      <c r="C44">
        <v>0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f>SUM(Tabela1[[#This Row],[1]:[25]])</f>
        <v>11</v>
      </c>
      <c r="AB44">
        <f>Tabela1[[#This Row],[Wynik pkt]]/25</f>
        <v>0.44</v>
      </c>
      <c r="AC44">
        <f>IF(AND(Tabela1[[#This Row],[5]],Tabela1[[#This Row],[15]],Tabela1[[#This Row],[25]]),1,0)</f>
        <v>0</v>
      </c>
    </row>
    <row r="45" spans="1:29" x14ac:dyDescent="0.25">
      <c r="A45">
        <v>44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0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1</v>
      </c>
      <c r="X45">
        <v>1</v>
      </c>
      <c r="Y45">
        <v>0</v>
      </c>
      <c r="Z45">
        <v>1</v>
      </c>
      <c r="AA45">
        <f>SUM(Tabela1[[#This Row],[1]:[25]])</f>
        <v>13</v>
      </c>
      <c r="AB45">
        <f>Tabela1[[#This Row],[Wynik pkt]]/25</f>
        <v>0.52</v>
      </c>
      <c r="AC45">
        <f>IF(AND(Tabela1[[#This Row],[5]],Tabela1[[#This Row],[15]],Tabela1[[#This Row],[25]]),1,0)</f>
        <v>0</v>
      </c>
    </row>
    <row r="46" spans="1:29" x14ac:dyDescent="0.2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</v>
      </c>
      <c r="V46">
        <v>1</v>
      </c>
      <c r="W46">
        <v>1</v>
      </c>
      <c r="X46">
        <v>0</v>
      </c>
      <c r="Y46">
        <v>1</v>
      </c>
      <c r="Z46">
        <v>1</v>
      </c>
      <c r="AA46">
        <f>SUM(Tabela1[[#This Row],[1]:[25]])</f>
        <v>23</v>
      </c>
      <c r="AB46">
        <f>Tabela1[[#This Row],[Wynik pkt]]/25</f>
        <v>0.92</v>
      </c>
      <c r="AC46">
        <f>IF(AND(Tabela1[[#This Row],[5]],Tabela1[[#This Row],[15]],Tabela1[[#This Row],[25]]),1,0)</f>
        <v>1</v>
      </c>
    </row>
    <row r="47" spans="1:29" x14ac:dyDescent="0.25">
      <c r="A47">
        <v>46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  <c r="AA47">
        <f>SUM(Tabela1[[#This Row],[1]:[25]])</f>
        <v>13</v>
      </c>
      <c r="AB47">
        <f>Tabela1[[#This Row],[Wynik pkt]]/25</f>
        <v>0.52</v>
      </c>
      <c r="AC47">
        <f>IF(AND(Tabela1[[#This Row],[5]],Tabela1[[#This Row],[15]],Tabela1[[#This Row],[25]]),1,0)</f>
        <v>0</v>
      </c>
    </row>
    <row r="48" spans="1:29" x14ac:dyDescent="0.25">
      <c r="A48">
        <v>47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f>SUM(Tabela1[[#This Row],[1]:[25]])</f>
        <v>8</v>
      </c>
      <c r="AB48">
        <f>Tabela1[[#This Row],[Wynik pkt]]/25</f>
        <v>0.32</v>
      </c>
      <c r="AC48">
        <f>IF(AND(Tabela1[[#This Row],[5]],Tabela1[[#This Row],[15]],Tabela1[[#This Row],[25]]),1,0)</f>
        <v>0</v>
      </c>
    </row>
    <row r="49" spans="1:29" x14ac:dyDescent="0.25">
      <c r="A49">
        <v>48</v>
      </c>
      <c r="B49">
        <v>1</v>
      </c>
      <c r="C49">
        <v>0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f>SUM(Tabela1[[#This Row],[1]:[25]])</f>
        <v>9</v>
      </c>
      <c r="AB49">
        <f>Tabela1[[#This Row],[Wynik pkt]]/25</f>
        <v>0.36</v>
      </c>
      <c r="AC49">
        <f>IF(AND(Tabela1[[#This Row],[5]],Tabela1[[#This Row],[15]],Tabela1[[#This Row],[25]]),1,0)</f>
        <v>0</v>
      </c>
    </row>
    <row r="50" spans="1:29" x14ac:dyDescent="0.25">
      <c r="A50">
        <v>49</v>
      </c>
      <c r="B50">
        <v>0</v>
      </c>
      <c r="C50">
        <v>0</v>
      </c>
      <c r="D50">
        <v>1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1</v>
      </c>
      <c r="P50">
        <v>0</v>
      </c>
      <c r="Q50">
        <v>1</v>
      </c>
      <c r="R50">
        <v>1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  <c r="AA50">
        <f>SUM(Tabela1[[#This Row],[1]:[25]])</f>
        <v>13</v>
      </c>
      <c r="AB50">
        <f>Tabela1[[#This Row],[Wynik pkt]]/25</f>
        <v>0.52</v>
      </c>
      <c r="AC50">
        <f>IF(AND(Tabela1[[#This Row],[5]],Tabela1[[#This Row],[15]],Tabela1[[#This Row],[25]]),1,0)</f>
        <v>0</v>
      </c>
    </row>
    <row r="51" spans="1:29" x14ac:dyDescent="0.25">
      <c r="A51">
        <v>50</v>
      </c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  <c r="AA51">
        <f>SUM(Tabela1[[#This Row],[1]:[25]])</f>
        <v>8</v>
      </c>
      <c r="AB51">
        <f>Tabela1[[#This Row],[Wynik pkt]]/25</f>
        <v>0.32</v>
      </c>
      <c r="AC51">
        <f>IF(AND(Tabela1[[#This Row],[5]],Tabela1[[#This Row],[15]],Tabela1[[#This Row],[25]]),1,0)</f>
        <v>0</v>
      </c>
    </row>
    <row r="52" spans="1:29" x14ac:dyDescent="0.25">
      <c r="A52">
        <v>51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1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1</v>
      </c>
      <c r="AA52">
        <f>SUM(Tabela1[[#This Row],[1]:[25]])</f>
        <v>15</v>
      </c>
      <c r="AB52">
        <f>Tabela1[[#This Row],[Wynik pkt]]/25</f>
        <v>0.6</v>
      </c>
      <c r="AC52">
        <f>IF(AND(Tabela1[[#This Row],[5]],Tabela1[[#This Row],[15]],Tabela1[[#This Row],[25]]),1,0)</f>
        <v>0</v>
      </c>
    </row>
    <row r="53" spans="1:29" x14ac:dyDescent="0.25">
      <c r="A53">
        <v>52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f>SUM(Tabela1[[#This Row],[1]:[25]])</f>
        <v>8</v>
      </c>
      <c r="AB53">
        <f>Tabela1[[#This Row],[Wynik pkt]]/25</f>
        <v>0.32</v>
      </c>
      <c r="AC53">
        <f>IF(AND(Tabela1[[#This Row],[5]],Tabela1[[#This Row],[15]],Tabela1[[#This Row],[25]]),1,0)</f>
        <v>0</v>
      </c>
    </row>
    <row r="54" spans="1:29" x14ac:dyDescent="0.25">
      <c r="A54">
        <v>53</v>
      </c>
      <c r="B54">
        <v>0</v>
      </c>
      <c r="C54">
        <v>0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  <c r="AA54">
        <f>SUM(Tabela1[[#This Row],[1]:[25]])</f>
        <v>11</v>
      </c>
      <c r="AB54">
        <f>Tabela1[[#This Row],[Wynik pkt]]/25</f>
        <v>0.44</v>
      </c>
      <c r="AC54">
        <f>IF(AND(Tabela1[[#This Row],[5]],Tabela1[[#This Row],[15]],Tabela1[[#This Row],[25]]),1,0)</f>
        <v>0</v>
      </c>
    </row>
    <row r="55" spans="1:29" x14ac:dyDescent="0.25">
      <c r="A55">
        <v>54</v>
      </c>
      <c r="B55">
        <v>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  <c r="AA55">
        <f>SUM(Tabela1[[#This Row],[1]:[25]])</f>
        <v>12</v>
      </c>
      <c r="AB55">
        <f>Tabela1[[#This Row],[Wynik pkt]]/25</f>
        <v>0.48</v>
      </c>
      <c r="AC55">
        <f>IF(AND(Tabela1[[#This Row],[5]],Tabela1[[#This Row],[15]],Tabela1[[#This Row],[25]]),1,0)</f>
        <v>0</v>
      </c>
    </row>
    <row r="56" spans="1:29" x14ac:dyDescent="0.25">
      <c r="A56">
        <v>55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1</v>
      </c>
      <c r="Z56">
        <v>0</v>
      </c>
      <c r="AA56">
        <f>SUM(Tabela1[[#This Row],[1]:[25]])</f>
        <v>11</v>
      </c>
      <c r="AB56">
        <f>Tabela1[[#This Row],[Wynik pkt]]/25</f>
        <v>0.44</v>
      </c>
      <c r="AC56">
        <f>IF(AND(Tabela1[[#This Row],[5]],Tabela1[[#This Row],[15]],Tabela1[[#This Row],[25]]),1,0)</f>
        <v>0</v>
      </c>
    </row>
    <row r="57" spans="1:29" x14ac:dyDescent="0.25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0</v>
      </c>
      <c r="AA57">
        <f>SUM(Tabela1[[#This Row],[1]:[25]])</f>
        <v>9</v>
      </c>
      <c r="AB57">
        <f>Tabela1[[#This Row],[Wynik pkt]]/25</f>
        <v>0.36</v>
      </c>
      <c r="AC57">
        <f>IF(AND(Tabela1[[#This Row],[5]],Tabela1[[#This Row],[15]],Tabela1[[#This Row],[25]]),1,0)</f>
        <v>0</v>
      </c>
    </row>
    <row r="58" spans="1:29" x14ac:dyDescent="0.25">
      <c r="A58">
        <v>57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f>SUM(Tabela1[[#This Row],[1]:[25]])</f>
        <v>6</v>
      </c>
      <c r="AB58">
        <f>Tabela1[[#This Row],[Wynik pkt]]/25</f>
        <v>0.24</v>
      </c>
      <c r="AC58">
        <f>IF(AND(Tabela1[[#This Row],[5]],Tabela1[[#This Row],[15]],Tabela1[[#This Row],[25]]),1,0)</f>
        <v>0</v>
      </c>
    </row>
    <row r="59" spans="1:29" x14ac:dyDescent="0.25">
      <c r="A59">
        <v>58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1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f>SUM(Tabela1[[#This Row],[1]:[25]])</f>
        <v>12</v>
      </c>
      <c r="AB59">
        <f>Tabela1[[#This Row],[Wynik pkt]]/25</f>
        <v>0.48</v>
      </c>
      <c r="AC59">
        <f>IF(AND(Tabela1[[#This Row],[5]],Tabela1[[#This Row],[15]],Tabela1[[#This Row],[25]]),1,0)</f>
        <v>0</v>
      </c>
    </row>
    <row r="60" spans="1:29" x14ac:dyDescent="0.25">
      <c r="A60">
        <v>59</v>
      </c>
      <c r="B60">
        <v>1</v>
      </c>
      <c r="C60">
        <v>0</v>
      </c>
      <c r="D60">
        <v>1</v>
      </c>
      <c r="E60">
        <v>0</v>
      </c>
      <c r="F60">
        <v>1</v>
      </c>
      <c r="G60">
        <v>1</v>
      </c>
      <c r="H60">
        <v>1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f>SUM(Tabela1[[#This Row],[1]:[25]])</f>
        <v>11</v>
      </c>
      <c r="AB60">
        <f>Tabela1[[#This Row],[Wynik pkt]]/25</f>
        <v>0.44</v>
      </c>
      <c r="AC60">
        <f>IF(AND(Tabela1[[#This Row],[5]],Tabela1[[#This Row],[15]],Tabela1[[#This Row],[25]]),1,0)</f>
        <v>0</v>
      </c>
    </row>
    <row r="61" spans="1:29" x14ac:dyDescent="0.25">
      <c r="A61">
        <v>60</v>
      </c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f>SUM(Tabela1[[#This Row],[1]:[25]])</f>
        <v>11</v>
      </c>
      <c r="AB61">
        <f>Tabela1[[#This Row],[Wynik pkt]]/25</f>
        <v>0.44</v>
      </c>
      <c r="AC61">
        <f>IF(AND(Tabela1[[#This Row],[5]],Tabela1[[#This Row],[15]],Tabela1[[#This Row],[25]]),1,0)</f>
        <v>0</v>
      </c>
    </row>
    <row r="62" spans="1:29" x14ac:dyDescent="0.25">
      <c r="A62">
        <v>61</v>
      </c>
      <c r="B62">
        <v>0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  <c r="AA62">
        <f>SUM(Tabela1[[#This Row],[1]:[25]])</f>
        <v>12</v>
      </c>
      <c r="AB62">
        <f>Tabela1[[#This Row],[Wynik pkt]]/25</f>
        <v>0.48</v>
      </c>
      <c r="AC62">
        <f>IF(AND(Tabela1[[#This Row],[5]],Tabela1[[#This Row],[15]],Tabela1[[#This Row],[25]]),1,0)</f>
        <v>0</v>
      </c>
    </row>
    <row r="63" spans="1:29" x14ac:dyDescent="0.25">
      <c r="A63">
        <v>62</v>
      </c>
      <c r="B63">
        <v>0</v>
      </c>
      <c r="C63">
        <v>1</v>
      </c>
      <c r="D63">
        <v>1</v>
      </c>
      <c r="E63">
        <v>1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1</v>
      </c>
      <c r="AA63">
        <f>SUM(Tabela1[[#This Row],[1]:[25]])</f>
        <v>13</v>
      </c>
      <c r="AB63">
        <f>Tabela1[[#This Row],[Wynik pkt]]/25</f>
        <v>0.52</v>
      </c>
      <c r="AC63">
        <f>IF(AND(Tabela1[[#This Row],[5]],Tabela1[[#This Row],[15]],Tabela1[[#This Row],[25]]),1,0)</f>
        <v>0</v>
      </c>
    </row>
    <row r="64" spans="1:29" x14ac:dyDescent="0.2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>
        <v>1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1</v>
      </c>
      <c r="AA64">
        <f>SUM(Tabela1[[#This Row],[1]:[25]])</f>
        <v>10</v>
      </c>
      <c r="AB64">
        <f>Tabela1[[#This Row],[Wynik pkt]]/25</f>
        <v>0.4</v>
      </c>
      <c r="AC64">
        <f>IF(AND(Tabela1[[#This Row],[5]],Tabela1[[#This Row],[15]],Tabela1[[#This Row],[25]]),1,0)</f>
        <v>0</v>
      </c>
    </row>
    <row r="65" spans="1:29" x14ac:dyDescent="0.25">
      <c r="A65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1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  <c r="AA65">
        <f>SUM(Tabela1[[#This Row],[1]:[25]])</f>
        <v>12</v>
      </c>
      <c r="AB65">
        <f>Tabela1[[#This Row],[Wynik pkt]]/25</f>
        <v>0.48</v>
      </c>
      <c r="AC65">
        <f>IF(AND(Tabela1[[#This Row],[5]],Tabela1[[#This Row],[15]],Tabela1[[#This Row],[25]]),1,0)</f>
        <v>0</v>
      </c>
    </row>
    <row r="66" spans="1:29" x14ac:dyDescent="0.25">
      <c r="A66">
        <v>65</v>
      </c>
      <c r="B66">
        <v>0</v>
      </c>
      <c r="C66">
        <v>0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  <c r="AA66">
        <f>SUM(Tabela1[[#This Row],[1]:[25]])</f>
        <v>14</v>
      </c>
      <c r="AB66">
        <f>Tabela1[[#This Row],[Wynik pkt]]/25</f>
        <v>0.56000000000000005</v>
      </c>
      <c r="AC66">
        <f>IF(AND(Tabela1[[#This Row],[5]],Tabela1[[#This Row],[15]],Tabela1[[#This Row],[25]]),1,0)</f>
        <v>1</v>
      </c>
    </row>
    <row r="67" spans="1:29" x14ac:dyDescent="0.25">
      <c r="A67">
        <v>66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1</v>
      </c>
      <c r="AA67">
        <f>SUM(Tabela1[[#This Row],[1]:[25]])</f>
        <v>10</v>
      </c>
      <c r="AB67">
        <f>Tabela1[[#This Row],[Wynik pkt]]/25</f>
        <v>0.4</v>
      </c>
      <c r="AC67">
        <f>IF(AND(Tabela1[[#This Row],[5]],Tabela1[[#This Row],[15]],Tabela1[[#This Row],[25]]),1,0)</f>
        <v>0</v>
      </c>
    </row>
    <row r="68" spans="1:29" x14ac:dyDescent="0.25">
      <c r="A68">
        <v>67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1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f>SUM(Tabela1[[#This Row],[1]:[25]])</f>
        <v>11</v>
      </c>
      <c r="AB68">
        <f>Tabela1[[#This Row],[Wynik pkt]]/25</f>
        <v>0.44</v>
      </c>
      <c r="AC68">
        <f>IF(AND(Tabela1[[#This Row],[5]],Tabela1[[#This Row],[15]],Tabela1[[#This Row],[25]]),1,0)</f>
        <v>0</v>
      </c>
    </row>
    <row r="69" spans="1:29" x14ac:dyDescent="0.25">
      <c r="A69">
        <v>68</v>
      </c>
      <c r="B69">
        <v>0</v>
      </c>
      <c r="C69">
        <v>1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f>SUM(Tabela1[[#This Row],[1]:[25]])</f>
        <v>7</v>
      </c>
      <c r="AB69">
        <f>Tabela1[[#This Row],[Wynik pkt]]/25</f>
        <v>0.28000000000000003</v>
      </c>
      <c r="AC69">
        <f>IF(AND(Tabela1[[#This Row],[5]],Tabela1[[#This Row],[15]],Tabela1[[#This Row],[25]]),1,0)</f>
        <v>0</v>
      </c>
    </row>
    <row r="70" spans="1:29" x14ac:dyDescent="0.25">
      <c r="A70">
        <v>69</v>
      </c>
      <c r="B70">
        <v>0</v>
      </c>
      <c r="C70">
        <v>0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f>SUM(Tabela1[[#This Row],[1]:[25]])</f>
        <v>9</v>
      </c>
      <c r="AB70">
        <f>Tabela1[[#This Row],[Wynik pkt]]/25</f>
        <v>0.36</v>
      </c>
      <c r="AC70">
        <f>IF(AND(Tabela1[[#This Row],[5]],Tabela1[[#This Row],[15]],Tabela1[[#This Row],[25]]),1,0)</f>
        <v>0</v>
      </c>
    </row>
    <row r="71" spans="1:29" x14ac:dyDescent="0.25">
      <c r="A71">
        <v>70</v>
      </c>
      <c r="B71">
        <v>0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f>SUM(Tabela1[[#This Row],[1]:[25]])</f>
        <v>13</v>
      </c>
      <c r="AB71">
        <f>Tabela1[[#This Row],[Wynik pkt]]/25</f>
        <v>0.52</v>
      </c>
      <c r="AC71">
        <f>IF(AND(Tabela1[[#This Row],[5]],Tabela1[[#This Row],[15]],Tabela1[[#This Row],[25]]),1,0)</f>
        <v>1</v>
      </c>
    </row>
    <row r="72" spans="1:29" x14ac:dyDescent="0.25">
      <c r="A72">
        <v>71</v>
      </c>
      <c r="B72">
        <v>0</v>
      </c>
      <c r="C72">
        <v>0</v>
      </c>
      <c r="D72">
        <v>0</v>
      </c>
      <c r="E72">
        <v>1</v>
      </c>
      <c r="F72">
        <v>0</v>
      </c>
      <c r="G72">
        <v>1</v>
      </c>
      <c r="H72">
        <v>1</v>
      </c>
      <c r="I72">
        <v>0</v>
      </c>
      <c r="J72">
        <v>1</v>
      </c>
      <c r="K72">
        <v>0</v>
      </c>
      <c r="L72">
        <v>1</v>
      </c>
      <c r="M72">
        <v>1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1</v>
      </c>
      <c r="Z72">
        <v>0</v>
      </c>
      <c r="AA72">
        <f>SUM(Tabela1[[#This Row],[1]:[25]])</f>
        <v>15</v>
      </c>
      <c r="AB72">
        <f>Tabela1[[#This Row],[Wynik pkt]]/25</f>
        <v>0.6</v>
      </c>
      <c r="AC72">
        <f>IF(AND(Tabela1[[#This Row],[5]],Tabela1[[#This Row],[15]],Tabela1[[#This Row],[25]]),1,0)</f>
        <v>0</v>
      </c>
    </row>
    <row r="73" spans="1:29" x14ac:dyDescent="0.25">
      <c r="A73">
        <v>72</v>
      </c>
      <c r="B73">
        <v>1</v>
      </c>
      <c r="C73">
        <v>0</v>
      </c>
      <c r="D73">
        <v>1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f>SUM(Tabela1[[#This Row],[1]:[25]])</f>
        <v>10</v>
      </c>
      <c r="AB73">
        <f>Tabela1[[#This Row],[Wynik pkt]]/25</f>
        <v>0.4</v>
      </c>
      <c r="AC73">
        <f>IF(AND(Tabela1[[#This Row],[5]],Tabela1[[#This Row],[15]],Tabela1[[#This Row],[25]]),1,0)</f>
        <v>0</v>
      </c>
    </row>
    <row r="74" spans="1:29" x14ac:dyDescent="0.25">
      <c r="A74">
        <v>73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1</v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>
        <f>SUM(Tabela1[[#This Row],[1]:[25]])</f>
        <v>10</v>
      </c>
      <c r="AB74">
        <f>Tabela1[[#This Row],[Wynik pkt]]/25</f>
        <v>0.4</v>
      </c>
      <c r="AC74">
        <f>IF(AND(Tabela1[[#This Row],[5]],Tabela1[[#This Row],[15]],Tabela1[[#This Row],[25]]),1,0)</f>
        <v>0</v>
      </c>
    </row>
    <row r="75" spans="1:29" x14ac:dyDescent="0.25">
      <c r="A75">
        <v>74</v>
      </c>
      <c r="B75">
        <v>0</v>
      </c>
      <c r="C75">
        <v>0</v>
      </c>
      <c r="D75">
        <v>1</v>
      </c>
      <c r="E75">
        <v>1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1</v>
      </c>
      <c r="U75">
        <v>1</v>
      </c>
      <c r="V75">
        <v>1</v>
      </c>
      <c r="W75">
        <v>1</v>
      </c>
      <c r="X75">
        <v>0</v>
      </c>
      <c r="Y75">
        <v>0</v>
      </c>
      <c r="Z75">
        <v>1</v>
      </c>
      <c r="AA75">
        <f>SUM(Tabela1[[#This Row],[1]:[25]])</f>
        <v>12</v>
      </c>
      <c r="AB75">
        <f>Tabela1[[#This Row],[Wynik pkt]]/25</f>
        <v>0.48</v>
      </c>
      <c r="AC75">
        <f>IF(AND(Tabela1[[#This Row],[5]],Tabela1[[#This Row],[15]],Tabela1[[#This Row],[25]]),1,0)</f>
        <v>0</v>
      </c>
    </row>
    <row r="76" spans="1:29" x14ac:dyDescent="0.25">
      <c r="A76">
        <v>75</v>
      </c>
      <c r="B76">
        <v>1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1</v>
      </c>
      <c r="W76">
        <v>0</v>
      </c>
      <c r="X76">
        <v>1</v>
      </c>
      <c r="Y76">
        <v>0</v>
      </c>
      <c r="Z76">
        <v>1</v>
      </c>
      <c r="AA76">
        <f>SUM(Tabela1[[#This Row],[1]:[25]])</f>
        <v>10</v>
      </c>
      <c r="AB76">
        <f>Tabela1[[#This Row],[Wynik pkt]]/25</f>
        <v>0.4</v>
      </c>
      <c r="AC76">
        <f>IF(AND(Tabela1[[#This Row],[5]],Tabela1[[#This Row],[15]],Tabela1[[#This Row],[25]]),1,0)</f>
        <v>0</v>
      </c>
    </row>
    <row r="77" spans="1:29" x14ac:dyDescent="0.25">
      <c r="A77">
        <v>76</v>
      </c>
      <c r="B77">
        <v>0</v>
      </c>
      <c r="C77">
        <v>1</v>
      </c>
      <c r="D77">
        <v>0</v>
      </c>
      <c r="E77">
        <v>1</v>
      </c>
      <c r="F77">
        <v>1</v>
      </c>
      <c r="G77">
        <v>0</v>
      </c>
      <c r="H77">
        <v>1</v>
      </c>
      <c r="I77">
        <v>1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1</v>
      </c>
      <c r="S77">
        <v>1</v>
      </c>
      <c r="T77">
        <v>1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f>SUM(Tabela1[[#This Row],[1]:[25]])</f>
        <v>15</v>
      </c>
      <c r="AB77">
        <f>Tabela1[[#This Row],[Wynik pkt]]/25</f>
        <v>0.6</v>
      </c>
      <c r="AC77">
        <f>IF(AND(Tabela1[[#This Row],[5]],Tabela1[[#This Row],[15]],Tabela1[[#This Row],[25]]),1,0)</f>
        <v>0</v>
      </c>
    </row>
    <row r="78" spans="1:29" x14ac:dyDescent="0.25">
      <c r="A78">
        <v>77</v>
      </c>
      <c r="B78">
        <v>1</v>
      </c>
      <c r="C78">
        <v>1</v>
      </c>
      <c r="D78">
        <v>1</v>
      </c>
      <c r="E78">
        <v>0</v>
      </c>
      <c r="F78">
        <v>1</v>
      </c>
      <c r="G78">
        <v>0</v>
      </c>
      <c r="H78">
        <v>1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1</v>
      </c>
      <c r="S78">
        <v>1</v>
      </c>
      <c r="T78">
        <v>0</v>
      </c>
      <c r="U78">
        <v>1</v>
      </c>
      <c r="V78">
        <v>1</v>
      </c>
      <c r="W78">
        <v>0</v>
      </c>
      <c r="X78">
        <v>1</v>
      </c>
      <c r="Y78">
        <v>0</v>
      </c>
      <c r="Z78">
        <v>0</v>
      </c>
      <c r="AA78">
        <f>SUM(Tabela1[[#This Row],[1]:[25]])</f>
        <v>16</v>
      </c>
      <c r="AB78">
        <f>Tabela1[[#This Row],[Wynik pkt]]/25</f>
        <v>0.64</v>
      </c>
      <c r="AC78">
        <f>IF(AND(Tabela1[[#This Row],[5]],Tabela1[[#This Row],[15]],Tabela1[[#This Row],[25]]),1,0)</f>
        <v>0</v>
      </c>
    </row>
    <row r="79" spans="1:29" x14ac:dyDescent="0.25">
      <c r="A79">
        <v>78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  <c r="AA79">
        <f>SUM(Tabela1[[#This Row],[1]:[25]])</f>
        <v>9</v>
      </c>
      <c r="AB79">
        <f>Tabela1[[#This Row],[Wynik pkt]]/25</f>
        <v>0.36</v>
      </c>
      <c r="AC79">
        <f>IF(AND(Tabela1[[#This Row],[5]],Tabela1[[#This Row],[15]],Tabela1[[#This Row],[25]]),1,0)</f>
        <v>0</v>
      </c>
    </row>
    <row r="80" spans="1:29" x14ac:dyDescent="0.25">
      <c r="A80">
        <v>79</v>
      </c>
      <c r="B80">
        <v>1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1</v>
      </c>
      <c r="R80">
        <v>1</v>
      </c>
      <c r="S80">
        <v>0</v>
      </c>
      <c r="T80">
        <v>1</v>
      </c>
      <c r="U80">
        <v>1</v>
      </c>
      <c r="V80">
        <v>0</v>
      </c>
      <c r="W80">
        <v>0</v>
      </c>
      <c r="X80">
        <v>1</v>
      </c>
      <c r="Y80">
        <v>1</v>
      </c>
      <c r="Z80">
        <v>1</v>
      </c>
      <c r="AA80">
        <f>SUM(Tabela1[[#This Row],[1]:[25]])</f>
        <v>15</v>
      </c>
      <c r="AB80">
        <f>Tabela1[[#This Row],[Wynik pkt]]/25</f>
        <v>0.6</v>
      </c>
      <c r="AC80">
        <f>IF(AND(Tabela1[[#This Row],[5]],Tabela1[[#This Row],[15]],Tabela1[[#This Row],[25]]),1,0)</f>
        <v>1</v>
      </c>
    </row>
    <row r="81" spans="1:29" x14ac:dyDescent="0.25">
      <c r="A81">
        <v>80</v>
      </c>
      <c r="B81">
        <v>1</v>
      </c>
      <c r="C81">
        <v>1</v>
      </c>
      <c r="D81">
        <v>0</v>
      </c>
      <c r="E81">
        <v>1</v>
      </c>
      <c r="F81">
        <v>0</v>
      </c>
      <c r="G81">
        <v>1</v>
      </c>
      <c r="H81">
        <v>0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1</v>
      </c>
      <c r="P81">
        <v>0</v>
      </c>
      <c r="Q81">
        <v>0</v>
      </c>
      <c r="R81">
        <v>1</v>
      </c>
      <c r="S81">
        <v>1</v>
      </c>
      <c r="T81">
        <v>1</v>
      </c>
      <c r="U81">
        <v>0</v>
      </c>
      <c r="V81">
        <v>0</v>
      </c>
      <c r="W81">
        <v>1</v>
      </c>
      <c r="X81">
        <v>1</v>
      </c>
      <c r="Y81">
        <v>1</v>
      </c>
      <c r="Z81">
        <v>0</v>
      </c>
      <c r="AA81">
        <f>SUM(Tabela1[[#This Row],[1]:[25]])</f>
        <v>15</v>
      </c>
      <c r="AB81">
        <f>Tabela1[[#This Row],[Wynik pkt]]/25</f>
        <v>0.6</v>
      </c>
      <c r="AC81">
        <f>IF(AND(Tabela1[[#This Row],[5]],Tabela1[[#This Row],[15]],Tabela1[[#This Row],[25]]),1,0)</f>
        <v>0</v>
      </c>
    </row>
    <row r="82" spans="1:29" x14ac:dyDescent="0.25">
      <c r="A82">
        <v>81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1</v>
      </c>
      <c r="T82">
        <v>0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  <c r="AA82">
        <f>SUM(Tabela1[[#This Row],[1]:[25]])</f>
        <v>10</v>
      </c>
      <c r="AB82">
        <f>Tabela1[[#This Row],[Wynik pkt]]/25</f>
        <v>0.4</v>
      </c>
      <c r="AC82">
        <f>IF(AND(Tabela1[[#This Row],[5]],Tabela1[[#This Row],[15]],Tabela1[[#This Row],[25]]),1,0)</f>
        <v>0</v>
      </c>
    </row>
    <row r="83" spans="1:29" x14ac:dyDescent="0.25">
      <c r="A83">
        <v>82</v>
      </c>
      <c r="B83">
        <v>1</v>
      </c>
      <c r="C83">
        <v>1</v>
      </c>
      <c r="D83">
        <v>0</v>
      </c>
      <c r="E83">
        <v>0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1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>
        <f>SUM(Tabela1[[#This Row],[1]:[25]])</f>
        <v>16</v>
      </c>
      <c r="AB83">
        <f>Tabela1[[#This Row],[Wynik pkt]]/25</f>
        <v>0.64</v>
      </c>
      <c r="AC83">
        <f>IF(AND(Tabela1[[#This Row],[5]],Tabela1[[#This Row],[15]],Tabela1[[#This Row],[25]]),1,0)</f>
        <v>0</v>
      </c>
    </row>
    <row r="84" spans="1:29" x14ac:dyDescent="0.25">
      <c r="A84">
        <v>83</v>
      </c>
      <c r="B84">
        <v>1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0</v>
      </c>
      <c r="V84">
        <v>1</v>
      </c>
      <c r="W84">
        <v>0</v>
      </c>
      <c r="X84">
        <v>1</v>
      </c>
      <c r="Y84">
        <v>1</v>
      </c>
      <c r="Z84">
        <v>1</v>
      </c>
      <c r="AA84">
        <f>SUM(Tabela1[[#This Row],[1]:[25]])</f>
        <v>12</v>
      </c>
      <c r="AB84">
        <f>Tabela1[[#This Row],[Wynik pkt]]/25</f>
        <v>0.48</v>
      </c>
      <c r="AC84">
        <f>IF(AND(Tabela1[[#This Row],[5]],Tabela1[[#This Row],[15]],Tabela1[[#This Row],[25]]),1,0)</f>
        <v>0</v>
      </c>
    </row>
    <row r="85" spans="1:29" x14ac:dyDescent="0.25">
      <c r="A85">
        <v>84</v>
      </c>
      <c r="B85">
        <v>1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f>SUM(Tabela1[[#This Row],[1]:[25]])</f>
        <v>10</v>
      </c>
      <c r="AB85">
        <f>Tabela1[[#This Row],[Wynik pkt]]/25</f>
        <v>0.4</v>
      </c>
      <c r="AC85">
        <f>IF(AND(Tabela1[[#This Row],[5]],Tabela1[[#This Row],[15]],Tabela1[[#This Row],[25]]),1,0)</f>
        <v>0</v>
      </c>
    </row>
    <row r="86" spans="1:29" x14ac:dyDescent="0.25">
      <c r="A86">
        <v>85</v>
      </c>
      <c r="B86">
        <v>1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>
        <f>SUM(Tabela1[[#This Row],[1]:[25]])</f>
        <v>11</v>
      </c>
      <c r="AB86">
        <f>Tabela1[[#This Row],[Wynik pkt]]/25</f>
        <v>0.44</v>
      </c>
      <c r="AC86">
        <f>IF(AND(Tabela1[[#This Row],[5]],Tabela1[[#This Row],[15]],Tabela1[[#This Row],[25]]),1,0)</f>
        <v>0</v>
      </c>
    </row>
    <row r="87" spans="1:29" x14ac:dyDescent="0.25">
      <c r="A87">
        <v>86</v>
      </c>
      <c r="B87">
        <v>0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1</v>
      </c>
      <c r="X87">
        <v>1</v>
      </c>
      <c r="Y87">
        <v>0</v>
      </c>
      <c r="Z87">
        <v>0</v>
      </c>
      <c r="AA87">
        <f>SUM(Tabela1[[#This Row],[1]:[25]])</f>
        <v>9</v>
      </c>
      <c r="AB87">
        <f>Tabela1[[#This Row],[Wynik pkt]]/25</f>
        <v>0.36</v>
      </c>
      <c r="AC87">
        <f>IF(AND(Tabela1[[#This Row],[5]],Tabela1[[#This Row],[15]],Tabela1[[#This Row],[25]]),1,0)</f>
        <v>0</v>
      </c>
    </row>
    <row r="88" spans="1:29" x14ac:dyDescent="0.25">
      <c r="A88">
        <v>87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1</v>
      </c>
      <c r="X88">
        <v>1</v>
      </c>
      <c r="Y88">
        <v>1</v>
      </c>
      <c r="Z88">
        <v>0</v>
      </c>
      <c r="AA88">
        <f>SUM(Tabela1[[#This Row],[1]:[25]])</f>
        <v>13</v>
      </c>
      <c r="AB88">
        <f>Tabela1[[#This Row],[Wynik pkt]]/25</f>
        <v>0.52</v>
      </c>
      <c r="AC88">
        <f>IF(AND(Tabela1[[#This Row],[5]],Tabela1[[#This Row],[15]],Tabela1[[#This Row],[25]]),1,0)</f>
        <v>0</v>
      </c>
    </row>
    <row r="89" spans="1:29" x14ac:dyDescent="0.25">
      <c r="A89">
        <v>88</v>
      </c>
      <c r="B89">
        <v>0</v>
      </c>
      <c r="C89">
        <v>1</v>
      </c>
      <c r="D89">
        <v>1</v>
      </c>
      <c r="E89">
        <v>0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1</v>
      </c>
      <c r="V89">
        <v>0</v>
      </c>
      <c r="W89">
        <v>1</v>
      </c>
      <c r="X89">
        <v>0</v>
      </c>
      <c r="Y89">
        <v>1</v>
      </c>
      <c r="Z89">
        <v>0</v>
      </c>
      <c r="AA89">
        <f>SUM(Tabela1[[#This Row],[1]:[25]])</f>
        <v>11</v>
      </c>
      <c r="AB89">
        <f>Tabela1[[#This Row],[Wynik pkt]]/25</f>
        <v>0.44</v>
      </c>
      <c r="AC89">
        <f>IF(AND(Tabela1[[#This Row],[5]],Tabela1[[#This Row],[15]],Tabela1[[#This Row],[25]]),1,0)</f>
        <v>0</v>
      </c>
    </row>
    <row r="90" spans="1:29" x14ac:dyDescent="0.25">
      <c r="A90">
        <v>89</v>
      </c>
      <c r="B90">
        <v>1</v>
      </c>
      <c r="C90">
        <v>1</v>
      </c>
      <c r="D90">
        <v>0</v>
      </c>
      <c r="E90">
        <v>1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f>SUM(Tabela1[[#This Row],[1]:[25]])</f>
        <v>10</v>
      </c>
      <c r="AB90">
        <f>Tabela1[[#This Row],[Wynik pkt]]/25</f>
        <v>0.4</v>
      </c>
      <c r="AC90">
        <f>IF(AND(Tabela1[[#This Row],[5]],Tabela1[[#This Row],[15]],Tabela1[[#This Row],[25]]),1,0)</f>
        <v>0</v>
      </c>
    </row>
    <row r="91" spans="1:29" x14ac:dyDescent="0.25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0</v>
      </c>
      <c r="AA91">
        <f>SUM(Tabela1[[#This Row],[1]:[25]])</f>
        <v>6</v>
      </c>
      <c r="AB91">
        <f>Tabela1[[#This Row],[Wynik pkt]]/25</f>
        <v>0.24</v>
      </c>
      <c r="AC91">
        <f>IF(AND(Tabela1[[#This Row],[5]],Tabela1[[#This Row],[15]],Tabela1[[#This Row],[25]]),1,0)</f>
        <v>0</v>
      </c>
    </row>
    <row r="92" spans="1:29" x14ac:dyDescent="0.25">
      <c r="A92">
        <v>91</v>
      </c>
      <c r="B92">
        <v>1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1</v>
      </c>
      <c r="M92">
        <v>0</v>
      </c>
      <c r="N92">
        <v>0</v>
      </c>
      <c r="O92">
        <v>1</v>
      </c>
      <c r="P92">
        <v>1</v>
      </c>
      <c r="Q92">
        <v>1</v>
      </c>
      <c r="R92">
        <v>0</v>
      </c>
      <c r="S92">
        <v>0</v>
      </c>
      <c r="T92">
        <v>1</v>
      </c>
      <c r="U92">
        <v>1</v>
      </c>
      <c r="V92">
        <v>1</v>
      </c>
      <c r="W92">
        <v>0</v>
      </c>
      <c r="X92">
        <v>1</v>
      </c>
      <c r="Y92">
        <v>0</v>
      </c>
      <c r="Z92">
        <v>1</v>
      </c>
      <c r="AA92">
        <f>SUM(Tabela1[[#This Row],[1]:[25]])</f>
        <v>13</v>
      </c>
      <c r="AB92">
        <f>Tabela1[[#This Row],[Wynik pkt]]/25</f>
        <v>0.52</v>
      </c>
      <c r="AC92">
        <f>IF(AND(Tabela1[[#This Row],[5]],Tabela1[[#This Row],[15]],Tabela1[[#This Row],[25]]),1,0)</f>
        <v>0</v>
      </c>
    </row>
    <row r="93" spans="1:29" x14ac:dyDescent="0.25">
      <c r="A93">
        <v>92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1</v>
      </c>
      <c r="AA93">
        <f>SUM(Tabela1[[#This Row],[1]:[25]])</f>
        <v>13</v>
      </c>
      <c r="AB93">
        <f>Tabela1[[#This Row],[Wynik pkt]]/25</f>
        <v>0.52</v>
      </c>
      <c r="AC93">
        <f>IF(AND(Tabela1[[#This Row],[5]],Tabela1[[#This Row],[15]],Tabela1[[#This Row],[25]]),1,0)</f>
        <v>0</v>
      </c>
    </row>
    <row r="94" spans="1:29" x14ac:dyDescent="0.25">
      <c r="A94">
        <v>93</v>
      </c>
      <c r="B94">
        <v>0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1</v>
      </c>
      <c r="V94">
        <v>1</v>
      </c>
      <c r="W94">
        <v>1</v>
      </c>
      <c r="X94">
        <v>0</v>
      </c>
      <c r="Y94">
        <v>1</v>
      </c>
      <c r="Z94">
        <v>1</v>
      </c>
      <c r="AA94">
        <f>SUM(Tabela1[[#This Row],[1]:[25]])</f>
        <v>11</v>
      </c>
      <c r="AB94">
        <f>Tabela1[[#This Row],[Wynik pkt]]/25</f>
        <v>0.44</v>
      </c>
      <c r="AC94">
        <f>IF(AND(Tabela1[[#This Row],[5]],Tabela1[[#This Row],[15]],Tabela1[[#This Row],[25]]),1,0)</f>
        <v>0</v>
      </c>
    </row>
    <row r="95" spans="1:29" x14ac:dyDescent="0.25">
      <c r="A95">
        <v>94</v>
      </c>
      <c r="B95">
        <v>0</v>
      </c>
      <c r="C95">
        <v>0</v>
      </c>
      <c r="D95">
        <v>1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f>SUM(Tabela1[[#This Row],[1]:[25]])</f>
        <v>8</v>
      </c>
      <c r="AB95">
        <f>Tabela1[[#This Row],[Wynik pkt]]/25</f>
        <v>0.32</v>
      </c>
      <c r="AC95">
        <f>IF(AND(Tabela1[[#This Row],[5]],Tabela1[[#This Row],[15]],Tabela1[[#This Row],[25]]),1,0)</f>
        <v>0</v>
      </c>
    </row>
    <row r="96" spans="1:29" x14ac:dyDescent="0.25">
      <c r="A96">
        <v>95</v>
      </c>
      <c r="B96">
        <v>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f>SUM(Tabela1[[#This Row],[1]:[25]])</f>
        <v>8</v>
      </c>
      <c r="AB96">
        <f>Tabela1[[#This Row],[Wynik pkt]]/25</f>
        <v>0.32</v>
      </c>
      <c r="AC96">
        <f>IF(AND(Tabela1[[#This Row],[5]],Tabela1[[#This Row],[15]],Tabela1[[#This Row],[25]]),1,0)</f>
        <v>0</v>
      </c>
    </row>
    <row r="97" spans="1:29" x14ac:dyDescent="0.25">
      <c r="A97">
        <v>96</v>
      </c>
      <c r="B97">
        <v>0</v>
      </c>
      <c r="C97">
        <v>1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1</v>
      </c>
      <c r="X97">
        <v>0</v>
      </c>
      <c r="Y97">
        <v>0</v>
      </c>
      <c r="Z97">
        <v>1</v>
      </c>
      <c r="AA97">
        <f>SUM(Tabela1[[#This Row],[1]:[25]])</f>
        <v>15</v>
      </c>
      <c r="AB97">
        <f>Tabela1[[#This Row],[Wynik pkt]]/25</f>
        <v>0.6</v>
      </c>
      <c r="AC97">
        <f>IF(AND(Tabela1[[#This Row],[5]],Tabela1[[#This Row],[15]],Tabela1[[#This Row],[25]]),1,0)</f>
        <v>0</v>
      </c>
    </row>
    <row r="98" spans="1:29" x14ac:dyDescent="0.25">
      <c r="A98">
        <v>97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  <c r="AA98">
        <f>SUM(Tabela1[[#This Row],[1]:[25]])</f>
        <v>13</v>
      </c>
      <c r="AB98">
        <f>Tabela1[[#This Row],[Wynik pkt]]/25</f>
        <v>0.52</v>
      </c>
      <c r="AC98">
        <f>IF(AND(Tabela1[[#This Row],[5]],Tabela1[[#This Row],[15]],Tabela1[[#This Row],[25]]),1,0)</f>
        <v>0</v>
      </c>
    </row>
    <row r="99" spans="1:29" x14ac:dyDescent="0.25">
      <c r="A99">
        <v>98</v>
      </c>
      <c r="B99">
        <v>1</v>
      </c>
      <c r="C99">
        <v>0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1</v>
      </c>
      <c r="AA99">
        <f>SUM(Tabela1[[#This Row],[1]:[25]])</f>
        <v>9</v>
      </c>
      <c r="AB99">
        <f>Tabela1[[#This Row],[Wynik pkt]]/25</f>
        <v>0.36</v>
      </c>
      <c r="AC99">
        <f>IF(AND(Tabela1[[#This Row],[5]],Tabela1[[#This Row],[15]],Tabela1[[#This Row],[25]]),1,0)</f>
        <v>0</v>
      </c>
    </row>
    <row r="100" spans="1:29" x14ac:dyDescent="0.25">
      <c r="A100">
        <v>99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f>SUM(Tabela1[[#This Row],[1]:[25]])</f>
        <v>11</v>
      </c>
      <c r="AB100">
        <f>Tabela1[[#This Row],[Wynik pkt]]/25</f>
        <v>0.44</v>
      </c>
      <c r="AC100">
        <f>IF(AND(Tabela1[[#This Row],[5]],Tabela1[[#This Row],[15]],Tabela1[[#This Row],[25]]),1,0)</f>
        <v>0</v>
      </c>
    </row>
    <row r="101" spans="1:29" x14ac:dyDescent="0.25">
      <c r="A101">
        <v>100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1</v>
      </c>
      <c r="Y101">
        <v>1</v>
      </c>
      <c r="Z101">
        <v>0</v>
      </c>
      <c r="AA101">
        <f>SUM(Tabela1[[#This Row],[1]:[25]])</f>
        <v>12</v>
      </c>
      <c r="AB101">
        <f>Tabela1[[#This Row],[Wynik pkt]]/25</f>
        <v>0.48</v>
      </c>
      <c r="AC101">
        <f>IF(AND(Tabela1[[#This Row],[5]],Tabela1[[#This Row],[15]],Tabela1[[#This Row],[25]]),1,0)</f>
        <v>0</v>
      </c>
    </row>
    <row r="102" spans="1:29" x14ac:dyDescent="0.25">
      <c r="A102">
        <v>101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f>SUM(Tabela1[[#This Row],[1]:[25]])</f>
        <v>10</v>
      </c>
      <c r="AB102">
        <f>Tabela1[[#This Row],[Wynik pkt]]/25</f>
        <v>0.4</v>
      </c>
      <c r="AC102">
        <f>IF(AND(Tabela1[[#This Row],[5]],Tabela1[[#This Row],[15]],Tabela1[[#This Row],[25]]),1,0)</f>
        <v>0</v>
      </c>
    </row>
    <row r="103" spans="1:29" x14ac:dyDescent="0.25">
      <c r="A103">
        <v>102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f>SUM(Tabela1[[#This Row],[1]:[25]])</f>
        <v>16</v>
      </c>
      <c r="AB103">
        <f>Tabela1[[#This Row],[Wynik pkt]]/25</f>
        <v>0.64</v>
      </c>
      <c r="AC103">
        <f>IF(AND(Tabela1[[#This Row],[5]],Tabela1[[#This Row],[15]],Tabela1[[#This Row],[25]]),1,0)</f>
        <v>0</v>
      </c>
    </row>
    <row r="104" spans="1:29" x14ac:dyDescent="0.25">
      <c r="A104">
        <v>103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1</v>
      </c>
      <c r="AA104">
        <f>SUM(Tabela1[[#This Row],[1]:[25]])</f>
        <v>12</v>
      </c>
      <c r="AB104">
        <f>Tabela1[[#This Row],[Wynik pkt]]/25</f>
        <v>0.48</v>
      </c>
      <c r="AC104">
        <f>IF(AND(Tabela1[[#This Row],[5]],Tabela1[[#This Row],[15]],Tabela1[[#This Row],[25]]),1,0)</f>
        <v>0</v>
      </c>
    </row>
    <row r="105" spans="1:29" x14ac:dyDescent="0.25">
      <c r="A105">
        <v>104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f>SUM(Tabela1[[#This Row],[1]:[25]])</f>
        <v>10</v>
      </c>
      <c r="AB105">
        <f>Tabela1[[#This Row],[Wynik pkt]]/25</f>
        <v>0.4</v>
      </c>
      <c r="AC105">
        <f>IF(AND(Tabela1[[#This Row],[5]],Tabela1[[#This Row],[15]],Tabela1[[#This Row],[25]]),1,0)</f>
        <v>0</v>
      </c>
    </row>
    <row r="106" spans="1:29" x14ac:dyDescent="0.25">
      <c r="A106">
        <v>105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f>SUM(Tabela1[[#This Row],[1]:[25]])</f>
        <v>11</v>
      </c>
      <c r="AB106">
        <f>Tabela1[[#This Row],[Wynik pkt]]/25</f>
        <v>0.44</v>
      </c>
      <c r="AC106">
        <f>IF(AND(Tabela1[[#This Row],[5]],Tabela1[[#This Row],[15]],Tabela1[[#This Row],[25]]),1,0)</f>
        <v>0</v>
      </c>
    </row>
    <row r="107" spans="1:29" x14ac:dyDescent="0.25">
      <c r="A107">
        <v>106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0</v>
      </c>
      <c r="AA107">
        <f>SUM(Tabela1[[#This Row],[1]:[25]])</f>
        <v>9</v>
      </c>
      <c r="AB107">
        <f>Tabela1[[#This Row],[Wynik pkt]]/25</f>
        <v>0.36</v>
      </c>
      <c r="AC107">
        <f>IF(AND(Tabela1[[#This Row],[5]],Tabela1[[#This Row],[15]],Tabela1[[#This Row],[25]]),1,0)</f>
        <v>0</v>
      </c>
    </row>
    <row r="108" spans="1:29" x14ac:dyDescent="0.25">
      <c r="A108">
        <v>107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1</v>
      </c>
      <c r="Y108">
        <v>1</v>
      </c>
      <c r="Z108">
        <v>0</v>
      </c>
      <c r="AA108">
        <f>SUM(Tabela1[[#This Row],[1]:[25]])</f>
        <v>13</v>
      </c>
      <c r="AB108">
        <f>Tabela1[[#This Row],[Wynik pkt]]/25</f>
        <v>0.52</v>
      </c>
      <c r="AC108">
        <f>IF(AND(Tabela1[[#This Row],[5]],Tabela1[[#This Row],[15]],Tabela1[[#This Row],[25]]),1,0)</f>
        <v>0</v>
      </c>
    </row>
    <row r="109" spans="1:29" x14ac:dyDescent="0.25">
      <c r="A109">
        <v>108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f>SUM(Tabela1[[#This Row],[1]:[25]])</f>
        <v>10</v>
      </c>
      <c r="AB109">
        <f>Tabela1[[#This Row],[Wynik pkt]]/25</f>
        <v>0.4</v>
      </c>
      <c r="AC109">
        <f>IF(AND(Tabela1[[#This Row],[5]],Tabela1[[#This Row],[15]],Tabela1[[#This Row],[25]]),1,0)</f>
        <v>0</v>
      </c>
    </row>
    <row r="110" spans="1:29" x14ac:dyDescent="0.25">
      <c r="A110">
        <v>109</v>
      </c>
      <c r="B110">
        <v>1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f>SUM(Tabela1[[#This Row],[1]:[25]])</f>
        <v>10</v>
      </c>
      <c r="AB110">
        <f>Tabela1[[#This Row],[Wynik pkt]]/25</f>
        <v>0.4</v>
      </c>
      <c r="AC110">
        <f>IF(AND(Tabela1[[#This Row],[5]],Tabela1[[#This Row],[15]],Tabela1[[#This Row],[25]]),1,0)</f>
        <v>0</v>
      </c>
    </row>
    <row r="111" spans="1:29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f>SUM(Tabela1[[#This Row],[1]:[25]])</f>
        <v>6</v>
      </c>
      <c r="AB111">
        <f>Tabela1[[#This Row],[Wynik pkt]]/25</f>
        <v>0.24</v>
      </c>
      <c r="AC111">
        <f>IF(AND(Tabela1[[#This Row],[5]],Tabela1[[#This Row],[15]],Tabela1[[#This Row],[25]]),1,0)</f>
        <v>0</v>
      </c>
    </row>
    <row r="112" spans="1:29" x14ac:dyDescent="0.25">
      <c r="A112">
        <v>111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0</v>
      </c>
      <c r="Z112">
        <v>1</v>
      </c>
      <c r="AA112">
        <f>SUM(Tabela1[[#This Row],[1]:[25]])</f>
        <v>12</v>
      </c>
      <c r="AB112">
        <f>Tabela1[[#This Row],[Wynik pkt]]/25</f>
        <v>0.48</v>
      </c>
      <c r="AC112">
        <f>IF(AND(Tabela1[[#This Row],[5]],Tabela1[[#This Row],[15]],Tabela1[[#This Row],[25]]),1,0)</f>
        <v>0</v>
      </c>
    </row>
    <row r="113" spans="1:29" x14ac:dyDescent="0.25">
      <c r="A113">
        <v>112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0</v>
      </c>
      <c r="Z113">
        <v>1</v>
      </c>
      <c r="AA113">
        <f>SUM(Tabela1[[#This Row],[1]:[25]])</f>
        <v>13</v>
      </c>
      <c r="AB113">
        <f>Tabela1[[#This Row],[Wynik pkt]]/25</f>
        <v>0.52</v>
      </c>
      <c r="AC113">
        <f>IF(AND(Tabela1[[#This Row],[5]],Tabela1[[#This Row],[15]],Tabela1[[#This Row],[25]]),1,0)</f>
        <v>0</v>
      </c>
    </row>
    <row r="114" spans="1:29" x14ac:dyDescent="0.25">
      <c r="A114">
        <v>113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1</v>
      </c>
      <c r="AA114">
        <f>SUM(Tabela1[[#This Row],[1]:[25]])</f>
        <v>11</v>
      </c>
      <c r="AB114">
        <f>Tabela1[[#This Row],[Wynik pkt]]/25</f>
        <v>0.44</v>
      </c>
      <c r="AC114">
        <f>IF(AND(Tabela1[[#This Row],[5]],Tabela1[[#This Row],[15]],Tabela1[[#This Row],[25]]),1,0)</f>
        <v>0</v>
      </c>
    </row>
    <row r="115" spans="1:29" x14ac:dyDescent="0.25">
      <c r="A115">
        <v>114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f>SUM(Tabela1[[#This Row],[1]:[25]])</f>
        <v>8</v>
      </c>
      <c r="AB115">
        <f>Tabela1[[#This Row],[Wynik pkt]]/25</f>
        <v>0.32</v>
      </c>
      <c r="AC115">
        <f>IF(AND(Tabela1[[#This Row],[5]],Tabela1[[#This Row],[15]],Tabela1[[#This Row],[25]]),1,0)</f>
        <v>0</v>
      </c>
    </row>
    <row r="116" spans="1:29" x14ac:dyDescent="0.25">
      <c r="A116">
        <v>115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f>SUM(Tabela1[[#This Row],[1]:[25]])</f>
        <v>7</v>
      </c>
      <c r="AB116">
        <f>Tabela1[[#This Row],[Wynik pkt]]/25</f>
        <v>0.28000000000000003</v>
      </c>
      <c r="AC116">
        <f>IF(AND(Tabela1[[#This Row],[5]],Tabela1[[#This Row],[15]],Tabela1[[#This Row],[25]]),1,0)</f>
        <v>0</v>
      </c>
    </row>
    <row r="117" spans="1:29" x14ac:dyDescent="0.25">
      <c r="A117">
        <v>116</v>
      </c>
      <c r="B117">
        <v>0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1</v>
      </c>
      <c r="AA117">
        <f>SUM(Tabela1[[#This Row],[1]:[25]])</f>
        <v>14</v>
      </c>
      <c r="AB117">
        <f>Tabela1[[#This Row],[Wynik pkt]]/25</f>
        <v>0.56000000000000005</v>
      </c>
      <c r="AC117">
        <f>IF(AND(Tabela1[[#This Row],[5]],Tabela1[[#This Row],[15]],Tabela1[[#This Row],[25]]),1,0)</f>
        <v>0</v>
      </c>
    </row>
    <row r="118" spans="1:29" x14ac:dyDescent="0.25">
      <c r="A118">
        <v>117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f>SUM(Tabela1[[#This Row],[1]:[25]])</f>
        <v>12</v>
      </c>
      <c r="AB118">
        <f>Tabela1[[#This Row],[Wynik pkt]]/25</f>
        <v>0.48</v>
      </c>
      <c r="AC118">
        <f>IF(AND(Tabela1[[#This Row],[5]],Tabela1[[#This Row],[15]],Tabela1[[#This Row],[25]]),1,0)</f>
        <v>0</v>
      </c>
    </row>
    <row r="119" spans="1:29" x14ac:dyDescent="0.25">
      <c r="A119">
        <v>118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f>SUM(Tabela1[[#This Row],[1]:[25]])</f>
        <v>9</v>
      </c>
      <c r="AB119">
        <f>Tabela1[[#This Row],[Wynik pkt]]/25</f>
        <v>0.36</v>
      </c>
      <c r="AC119">
        <f>IF(AND(Tabela1[[#This Row],[5]],Tabela1[[#This Row],[15]],Tabela1[[#This Row],[25]]),1,0)</f>
        <v>0</v>
      </c>
    </row>
    <row r="120" spans="1:29" x14ac:dyDescent="0.25">
      <c r="A120">
        <v>119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f>SUM(Tabela1[[#This Row],[1]:[25]])</f>
        <v>10</v>
      </c>
      <c r="AB120">
        <f>Tabela1[[#This Row],[Wynik pkt]]/25</f>
        <v>0.4</v>
      </c>
      <c r="AC120">
        <f>IF(AND(Tabela1[[#This Row],[5]],Tabela1[[#This Row],[15]],Tabela1[[#This Row],[25]]),1,0)</f>
        <v>0</v>
      </c>
    </row>
    <row r="121" spans="1:29" x14ac:dyDescent="0.25">
      <c r="A121">
        <v>120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1</v>
      </c>
      <c r="Y121">
        <v>1</v>
      </c>
      <c r="Z121">
        <v>0</v>
      </c>
      <c r="AA121">
        <f>SUM(Tabela1[[#This Row],[1]:[25]])</f>
        <v>12</v>
      </c>
      <c r="AB121">
        <f>Tabela1[[#This Row],[Wynik pkt]]/25</f>
        <v>0.48</v>
      </c>
      <c r="AC121">
        <f>IF(AND(Tabela1[[#This Row],[5]],Tabela1[[#This Row],[15]],Tabela1[[#This Row],[25]]),1,0)</f>
        <v>0</v>
      </c>
    </row>
    <row r="122" spans="1:29" x14ac:dyDescent="0.25">
      <c r="A122">
        <v>121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f>SUM(Tabela1[[#This Row],[1]:[25]])</f>
        <v>7</v>
      </c>
      <c r="AB122">
        <f>Tabela1[[#This Row],[Wynik pkt]]/25</f>
        <v>0.28000000000000003</v>
      </c>
      <c r="AC122">
        <f>IF(AND(Tabela1[[#This Row],[5]],Tabela1[[#This Row],[15]],Tabela1[[#This Row],[25]]),1,0)</f>
        <v>0</v>
      </c>
    </row>
    <row r="123" spans="1:29" x14ac:dyDescent="0.25">
      <c r="A123">
        <v>122</v>
      </c>
      <c r="B123">
        <v>0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f>SUM(Tabela1[[#This Row],[1]:[25]])</f>
        <v>15</v>
      </c>
      <c r="AB123">
        <f>Tabela1[[#This Row],[Wynik pkt]]/25</f>
        <v>0.6</v>
      </c>
      <c r="AC123">
        <f>IF(AND(Tabela1[[#This Row],[5]],Tabela1[[#This Row],[15]],Tabela1[[#This Row],[25]]),1,0)</f>
        <v>0</v>
      </c>
    </row>
    <row r="124" spans="1:29" x14ac:dyDescent="0.25">
      <c r="A124">
        <v>123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f>SUM(Tabela1[[#This Row],[1]:[25]])</f>
        <v>12</v>
      </c>
      <c r="AB124">
        <f>Tabela1[[#This Row],[Wynik pkt]]/25</f>
        <v>0.48</v>
      </c>
      <c r="AC124">
        <f>IF(AND(Tabela1[[#This Row],[5]],Tabela1[[#This Row],[15]],Tabela1[[#This Row],[25]]),1,0)</f>
        <v>0</v>
      </c>
    </row>
    <row r="125" spans="1:29" x14ac:dyDescent="0.25">
      <c r="A125">
        <v>124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1</v>
      </c>
      <c r="AA125">
        <f>SUM(Tabela1[[#This Row],[1]:[25]])</f>
        <v>8</v>
      </c>
      <c r="AB125">
        <f>Tabela1[[#This Row],[Wynik pkt]]/25</f>
        <v>0.32</v>
      </c>
      <c r="AC125">
        <f>IF(AND(Tabela1[[#This Row],[5]],Tabela1[[#This Row],[15]],Tabela1[[#This Row],[25]]),1,0)</f>
        <v>0</v>
      </c>
    </row>
    <row r="126" spans="1:29" x14ac:dyDescent="0.25">
      <c r="A126">
        <v>125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f>SUM(Tabela1[[#This Row],[1]:[25]])</f>
        <v>11</v>
      </c>
      <c r="AB126">
        <f>Tabela1[[#This Row],[Wynik pkt]]/25</f>
        <v>0.44</v>
      </c>
      <c r="AC126">
        <f>IF(AND(Tabela1[[#This Row],[5]],Tabela1[[#This Row],[15]],Tabela1[[#This Row],[25]]),1,0)</f>
        <v>0</v>
      </c>
    </row>
    <row r="127" spans="1:29" x14ac:dyDescent="0.25">
      <c r="A127">
        <v>126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f>SUM(Tabela1[[#This Row],[1]:[25]])</f>
        <v>9</v>
      </c>
      <c r="AB127">
        <f>Tabela1[[#This Row],[Wynik pkt]]/25</f>
        <v>0.36</v>
      </c>
      <c r="AC127">
        <f>IF(AND(Tabela1[[#This Row],[5]],Tabela1[[#This Row],[15]],Tabela1[[#This Row],[25]]),1,0)</f>
        <v>0</v>
      </c>
    </row>
    <row r="128" spans="1:29" x14ac:dyDescent="0.25">
      <c r="B128">
        <f>SUM(Tabela1[1])</f>
        <v>60</v>
      </c>
      <c r="C128">
        <f>SUM(Tabela1[2])</f>
        <v>64</v>
      </c>
      <c r="D128">
        <f>SUM(Tabela1[3])</f>
        <v>48</v>
      </c>
      <c r="E128">
        <f>SUM(Tabela1[4])</f>
        <v>60</v>
      </c>
      <c r="F128">
        <f>SUM(Tabela1[5])</f>
        <v>46</v>
      </c>
      <c r="G128">
        <f>SUM(Tabela1[6])</f>
        <v>53</v>
      </c>
      <c r="H128">
        <f>SUM(Tabela1[7])</f>
        <v>48</v>
      </c>
      <c r="I128">
        <f>SUM(Tabela1[8])</f>
        <v>53</v>
      </c>
      <c r="J128">
        <f>SUM(Tabela1[9])</f>
        <v>66</v>
      </c>
      <c r="K128">
        <f>SUM(Tabela1[10])</f>
        <v>43</v>
      </c>
      <c r="L128">
        <f>SUM(Tabela1[11])</f>
        <v>62</v>
      </c>
      <c r="M128">
        <f>SUM(Tabela1[12])</f>
        <v>65</v>
      </c>
      <c r="N128">
        <f>SUM(Tabela1[13])</f>
        <v>60</v>
      </c>
      <c r="O128">
        <f>SUM(Tabela1[14])</f>
        <v>57</v>
      </c>
      <c r="P128">
        <f>SUM(Tabela1[15])</f>
        <v>37</v>
      </c>
      <c r="Q128">
        <f>SUM(Tabela1[16])</f>
        <v>52</v>
      </c>
      <c r="R128">
        <f>SUM(Tabela1[17])</f>
        <v>59</v>
      </c>
      <c r="S128">
        <f>SUM(Tabela1[18])</f>
        <v>65</v>
      </c>
      <c r="T128">
        <f>SUM(Tabela1[19])</f>
        <v>70</v>
      </c>
      <c r="U128">
        <f>SUM(Tabela1[20])</f>
        <v>74</v>
      </c>
      <c r="V128">
        <f>SUM(Tabela1[21])</f>
        <v>60</v>
      </c>
      <c r="W128">
        <f>SUM(Tabela1[22])</f>
        <v>71</v>
      </c>
      <c r="X128">
        <f>SUM(Tabela1[23])</f>
        <v>63</v>
      </c>
      <c r="Y128">
        <f>SUM(Tabela1[24])</f>
        <v>55</v>
      </c>
      <c r="Z128">
        <f>SUM(Tabela1[25])</f>
        <v>49</v>
      </c>
    </row>
    <row r="133" spans="1:27" x14ac:dyDescent="0.25">
      <c r="AA133" s="1">
        <f>AVERAGE(Tabela1[Wynik pkt])</f>
        <v>11.428571428571429</v>
      </c>
    </row>
    <row r="134" spans="1:27" x14ac:dyDescent="0.25">
      <c r="AA134">
        <f>COUNTIF(Tabela1[Wynik pkt],"&gt;11")</f>
        <v>55</v>
      </c>
    </row>
    <row r="136" spans="1:27" x14ac:dyDescent="0.25">
      <c r="A136" t="s">
        <v>26</v>
      </c>
      <c r="B136" t="str">
        <f>IF(SUM(B2:B127)&gt;63,"1","0")</f>
        <v>0</v>
      </c>
      <c r="C136" t="str">
        <f>IF(SUM(C2:C127)&gt;63,"1","0")</f>
        <v>1</v>
      </c>
      <c r="D136" t="str">
        <f>IF(SUM(D2:D127)&gt;63,"1","0")</f>
        <v>0</v>
      </c>
      <c r="E136" t="str">
        <f>IF(SUM(E2:E127)&gt;63,"1","0")</f>
        <v>0</v>
      </c>
      <c r="F136" t="str">
        <f>IF(SUM(F2:F127)&gt;63,"1","0")</f>
        <v>0</v>
      </c>
      <c r="G136" t="str">
        <f>IF(SUM(G2:G127)&gt;63,"1","0")</f>
        <v>0</v>
      </c>
      <c r="H136" t="str">
        <f>IF(SUM(H2:H127)&gt;63,"1","0")</f>
        <v>0</v>
      </c>
      <c r="I136" t="str">
        <f>IF(SUM(I2:I127)&gt;63,"1","0")</f>
        <v>0</v>
      </c>
      <c r="J136" t="str">
        <f>IF(SUM(J2:J127)&gt;63,"1","0")</f>
        <v>1</v>
      </c>
      <c r="K136" t="str">
        <f>IF(SUM(K2:K127)&gt;63,"1","0")</f>
        <v>0</v>
      </c>
      <c r="L136" t="str">
        <f>IF(SUM(L2:L127)&gt;63,"1","0")</f>
        <v>0</v>
      </c>
      <c r="M136" t="str">
        <f>IF(SUM(M2:M127)&gt;63,"1","0")</f>
        <v>1</v>
      </c>
      <c r="N136" t="str">
        <f>IF(SUM(N2:N127)&gt;63,"1","0")</f>
        <v>0</v>
      </c>
      <c r="O136" t="str">
        <f>IF(SUM(O2:O127)&gt;63,"1","0")</f>
        <v>0</v>
      </c>
      <c r="P136" t="str">
        <f>IF(SUM(P2:P127)&gt;63,"1","0")</f>
        <v>0</v>
      </c>
      <c r="Q136" t="str">
        <f>IF(SUM(Q2:Q127)&gt;63,"1","0")</f>
        <v>0</v>
      </c>
      <c r="R136" t="str">
        <f>IF(SUM(R2:R127)&gt;63,"1","0")</f>
        <v>0</v>
      </c>
      <c r="S136" t="str">
        <f>IF(SUM(S2:S127)&gt;63,"1","0")</f>
        <v>1</v>
      </c>
      <c r="T136" t="str">
        <f>IF(SUM(T2:T127)&gt;63,"1","0")</f>
        <v>1</v>
      </c>
      <c r="U136" t="str">
        <f>IF(SUM(U2:U127)&gt;63,"1","0")</f>
        <v>1</v>
      </c>
      <c r="V136" t="str">
        <f>IF(SUM(V2:V127)&gt;63,"1","0")</f>
        <v>0</v>
      </c>
      <c r="W136" t="str">
        <f>IF(SUM(W2:W127)&gt;63,"1","0")</f>
        <v>1</v>
      </c>
      <c r="X136" t="str">
        <f>IF(SUM(X2:X127)&gt;63,"1","0")</f>
        <v>0</v>
      </c>
      <c r="Y136" t="str">
        <f>IF(SUM(Y2:Y127)&gt;63,"1","0")</f>
        <v>0</v>
      </c>
      <c r="Z136" t="str">
        <f>IF(SUM(Z2:Z127)&gt;63,"1","0")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839C-A0C8-4321-A810-B3C55523ABFC}">
  <dimension ref="Z28"/>
  <sheetViews>
    <sheetView tabSelected="1" workbookViewId="0">
      <selection activeCell="AD29" sqref="AD29"/>
    </sheetView>
  </sheetViews>
  <sheetFormatPr defaultRowHeight="15" x14ac:dyDescent="0.25"/>
  <sheetData>
    <row r="28" spans="26:26" x14ac:dyDescent="0.25">
      <c r="Z2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</dc:creator>
  <cp:lastModifiedBy>patryk</cp:lastModifiedBy>
  <dcterms:created xsi:type="dcterms:W3CDTF">2025-09-06T07:27:39Z</dcterms:created>
  <dcterms:modified xsi:type="dcterms:W3CDTF">2025-09-06T07:57:31Z</dcterms:modified>
</cp:coreProperties>
</file>