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tryk\Desktop\Nauka Informatyka Excel\Matura Podstawowa 2015\"/>
    </mc:Choice>
  </mc:AlternateContent>
  <xr:revisionPtr revIDLastSave="0" documentId="13_ncr:1_{C4E1CE53-21FB-4B6E-A1E5-B1C46AF21A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3" sheetId="3" r:id="rId1"/>
    <sheet name="Arkusz2" sheetId="2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2" l="1"/>
  <c r="H57" i="2"/>
  <c r="J57" i="2"/>
  <c r="D57" i="2"/>
  <c r="K57" i="2" s="1"/>
  <c r="F56" i="2"/>
  <c r="H56" i="2"/>
  <c r="J56" i="2"/>
  <c r="D56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3" i="2"/>
  <c r="J34" i="2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H34" i="2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F34" i="2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D34" i="2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J4" i="2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" i="2"/>
  <c r="H4" i="2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" i="2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" i="2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</calcChain>
</file>

<file path=xl/sharedStrings.xml><?xml version="1.0" encoding="utf-8"?>
<sst xmlns="http://schemas.openxmlformats.org/spreadsheetml/2006/main" count="20" uniqueCount="20">
  <si>
    <t>Rok</t>
  </si>
  <si>
    <t>Kwartał</t>
  </si>
  <si>
    <t>Wyprodukowane Dama</t>
  </si>
  <si>
    <t>Wyprodukowane Granta</t>
  </si>
  <si>
    <t>Wyprodukowane Dorkas</t>
  </si>
  <si>
    <t>Wyprodukowane Lodera</t>
  </si>
  <si>
    <t>Wzrost Lodera(%)</t>
  </si>
  <si>
    <t>Wzrost Dorkas(%)</t>
  </si>
  <si>
    <t>Wzrost Granta(%)</t>
  </si>
  <si>
    <t>Wzrost Dama(%)</t>
  </si>
  <si>
    <t>Czy ktos wyprodukowal mniej od 1 kwartalu 2005</t>
  </si>
  <si>
    <t>nie</t>
  </si>
  <si>
    <t>Ile Razy marka Przekraczala 300 szt produkcji?</t>
  </si>
  <si>
    <t>Wyprodukowano Łącznie(2005-2010):</t>
  </si>
  <si>
    <t>Suma z Wyprodukowane Dama</t>
  </si>
  <si>
    <t>Suma z Wyprodukowane Granta</t>
  </si>
  <si>
    <t>Suma z Wyprodukowane Dorkas</t>
  </si>
  <si>
    <t>Suma z Wyprodukowane Lodera</t>
  </si>
  <si>
    <t>Etykiety wierszy</t>
  </si>
  <si>
    <t>Suma końcowa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</si>
</sst>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1" tint="0.44999542222357858"/>
        <bgColor theme="1" tint="0.4499954222235785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0" fontId="2" fillId="2" borderId="0" xfId="0" applyFont="1" applyFill="1"/>
    <xf numFmtId="0" fontId="2" fillId="3" borderId="0" xfId="0" applyFont="1" applyFill="1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ny" xfId="0" builtinId="0"/>
    <cellStyle name="Procentowy" xfId="1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 tint="0.44999542222357858"/>
          <bgColor theme="1" tint="0.4499954222235785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 tint="0.44999542222357858"/>
          <bgColor theme="1" tint="0.4499954222235785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 4.xlsx]Arkusz3!Tabela przestawna1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Produkcja Poszczególnych modeli samochodów w latach 2005-2012</a:t>
            </a:r>
          </a:p>
          <a:p>
            <a:pPr>
              <a:defRPr/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A5A5A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4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FFC000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Arkusz3!$B$3</c:f>
              <c:strCache>
                <c:ptCount val="1"/>
                <c:pt idx="0">
                  <c:v>Suma z Wyprodukowane Dama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5B9BD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Arkusz3!$A$4:$A$12</c:f>
              <c:strCach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strCache>
            </c:strRef>
          </c:cat>
          <c:val>
            <c:numRef>
              <c:f>Arkusz3!$B$4:$B$12</c:f>
              <c:numCache>
                <c:formatCode>General</c:formatCode>
                <c:ptCount val="8"/>
                <c:pt idx="0">
                  <c:v>972</c:v>
                </c:pt>
                <c:pt idx="1">
                  <c:v>1042</c:v>
                </c:pt>
                <c:pt idx="2">
                  <c:v>1122</c:v>
                </c:pt>
                <c:pt idx="3">
                  <c:v>1203</c:v>
                </c:pt>
                <c:pt idx="4">
                  <c:v>1296</c:v>
                </c:pt>
                <c:pt idx="5">
                  <c:v>1332</c:v>
                </c:pt>
                <c:pt idx="6">
                  <c:v>1292</c:v>
                </c:pt>
                <c:pt idx="7">
                  <c:v>1228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3-4B31-B0D7-E6E3223EEB67}"/>
            </c:ext>
          </c:extLst>
        </c:ser>
        <c:ser>
          <c:idx val="1"/>
          <c:order val="1"/>
          <c:tx>
            <c:strRef>
              <c:f>Arkusz3!$C$3</c:f>
              <c:strCache>
                <c:ptCount val="1"/>
                <c:pt idx="0">
                  <c:v>Suma z Wyprodukowane Granta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ED7D31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Arkusz3!$A$4:$A$12</c:f>
              <c:strCach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strCache>
            </c:strRef>
          </c:cat>
          <c:val>
            <c:numRef>
              <c:f>Arkusz3!$C$4:$C$12</c:f>
              <c:numCache>
                <c:formatCode>General</c:formatCode>
                <c:ptCount val="8"/>
                <c:pt idx="0">
                  <c:v>822</c:v>
                </c:pt>
                <c:pt idx="1">
                  <c:v>905</c:v>
                </c:pt>
                <c:pt idx="2">
                  <c:v>1000</c:v>
                </c:pt>
                <c:pt idx="3">
                  <c:v>1102</c:v>
                </c:pt>
                <c:pt idx="4">
                  <c:v>1217</c:v>
                </c:pt>
                <c:pt idx="5">
                  <c:v>1264</c:v>
                </c:pt>
                <c:pt idx="6">
                  <c:v>1224</c:v>
                </c:pt>
                <c:pt idx="7">
                  <c:v>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C3-4B31-B0D7-E6E3223EEB67}"/>
            </c:ext>
          </c:extLst>
        </c:ser>
        <c:ser>
          <c:idx val="2"/>
          <c:order val="2"/>
          <c:tx>
            <c:strRef>
              <c:f>Arkusz3!$D$3</c:f>
              <c:strCache>
                <c:ptCount val="1"/>
                <c:pt idx="0">
                  <c:v>Suma z Wyprodukowane Dorkas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A5A5A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Arkusz3!$A$4:$A$12</c:f>
              <c:strCach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strCache>
            </c:strRef>
          </c:cat>
          <c:val>
            <c:numRef>
              <c:f>Arkusz3!$D$4:$D$12</c:f>
              <c:numCache>
                <c:formatCode>General</c:formatCode>
                <c:ptCount val="8"/>
                <c:pt idx="0">
                  <c:v>864</c:v>
                </c:pt>
                <c:pt idx="1">
                  <c:v>963</c:v>
                </c:pt>
                <c:pt idx="2">
                  <c:v>1075</c:v>
                </c:pt>
                <c:pt idx="3">
                  <c:v>1201</c:v>
                </c:pt>
                <c:pt idx="4">
                  <c:v>1343</c:v>
                </c:pt>
                <c:pt idx="5">
                  <c:v>1400</c:v>
                </c:pt>
                <c:pt idx="6">
                  <c:v>1330</c:v>
                </c:pt>
                <c:pt idx="7">
                  <c:v>1224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C3-4B31-B0D7-E6E3223EEB67}"/>
            </c:ext>
          </c:extLst>
        </c:ser>
        <c:ser>
          <c:idx val="3"/>
          <c:order val="3"/>
          <c:tx>
            <c:strRef>
              <c:f>Arkusz3!$E$3</c:f>
              <c:strCache>
                <c:ptCount val="1"/>
                <c:pt idx="0">
                  <c:v>Suma z Wyprodukowane Lodera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Arkusz3!$A$4:$A$12</c:f>
              <c:strCach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strCache>
            </c:strRef>
          </c:cat>
          <c:val>
            <c:numRef>
              <c:f>Arkusz3!$E$4:$E$12</c:f>
              <c:numCache>
                <c:formatCode>General</c:formatCode>
                <c:ptCount val="8"/>
                <c:pt idx="0">
                  <c:v>1284</c:v>
                </c:pt>
                <c:pt idx="1">
                  <c:v>1380</c:v>
                </c:pt>
                <c:pt idx="2">
                  <c:v>1486</c:v>
                </c:pt>
                <c:pt idx="3">
                  <c:v>1599</c:v>
                </c:pt>
                <c:pt idx="4">
                  <c:v>1724</c:v>
                </c:pt>
                <c:pt idx="5">
                  <c:v>1772</c:v>
                </c:pt>
                <c:pt idx="6">
                  <c:v>1658</c:v>
                </c:pt>
                <c:pt idx="7">
                  <c:v>1492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C3-4B31-B0D7-E6E3223EEB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143493375"/>
        <c:axId val="1147112399"/>
        <c:axId val="0"/>
      </c:bar3DChart>
      <c:catAx>
        <c:axId val="1143493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7112399"/>
        <c:crosses val="autoZero"/>
        <c:auto val="1"/>
        <c:lblAlgn val="ctr"/>
        <c:lblOffset val="100"/>
        <c:noMultiLvlLbl val="0"/>
      </c:catAx>
      <c:valAx>
        <c:axId val="114711239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Ilośc Aut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crossAx val="114349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14</xdr:row>
      <xdr:rowOff>80961</xdr:rowOff>
    </xdr:from>
    <xdr:to>
      <xdr:col>8</xdr:col>
      <xdr:colOff>581025</xdr:colOff>
      <xdr:row>36</xdr:row>
      <xdr:rowOff>9524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B158525-03FE-C39F-7861-5108204E8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yk" refreshedDate="45908.678596180558" createdVersion="8" refreshedVersion="8" minRefreshableVersion="3" recordCount="32" xr:uid="{8E2F2FC7-A6F8-4F61-B25A-A7327D15C514}">
  <cacheSource type="worksheet">
    <worksheetSource name="Tabela2"/>
  </cacheSource>
  <cacheFields count="11">
    <cacheField name="Rok" numFmtId="0">
      <sharedItems containsSemiMixedTypes="0" containsString="0" containsNumber="1" containsInteger="1" minValue="2005" maxValue="2012" count="8">
        <n v="2005"/>
        <n v="2006"/>
        <n v="2007"/>
        <n v="2008"/>
        <n v="2009"/>
        <n v="2010"/>
        <n v="2011"/>
        <n v="2012"/>
      </sharedItems>
    </cacheField>
    <cacheField name="Kwartał" numFmtId="0">
      <sharedItems containsSemiMixedTypes="0" containsString="0" containsNumber="1" containsInteger="1" minValue="1" maxValue="4"/>
    </cacheField>
    <cacheField name="Wzrost Dama(%)" numFmtId="164">
      <sharedItems containsSemiMixedTypes="0" containsString="0" containsNumber="1" minValue="-0.01" maxValue="0.02"/>
    </cacheField>
    <cacheField name="Wyprodukowane Dama" numFmtId="0">
      <sharedItems containsSemiMixedTypes="0" containsString="0" containsNumber="1" containsInteger="1" minValue="237" maxValue="333"/>
    </cacheField>
    <cacheField name="Wzrost Granta(%)" numFmtId="164">
      <sharedItems containsSemiMixedTypes="0" containsString="0" containsNumber="1" minValue="-1.2E-2" maxValue="2.7E-2"/>
    </cacheField>
    <cacheField name="Wyprodukowane Granta" numFmtId="0">
      <sharedItems containsSemiMixedTypes="0" containsString="0" containsNumber="1" containsInteger="1" minValue="198" maxValue="316"/>
    </cacheField>
    <cacheField name="Wzrost Dorkas(%)" numFmtId="164">
      <sharedItems containsSemiMixedTypes="0" containsString="0" containsNumber="1" minValue="-1.9E-2" maxValue="0.03"/>
    </cacheField>
    <cacheField name="Wyprodukowane Dorkas" numFmtId="0">
      <sharedItems containsSemiMixedTypes="0" containsString="0" containsNumber="1" containsInteger="1" minValue="207" maxValue="350"/>
    </cacheField>
    <cacheField name="Wzrost Lodera(%)" numFmtId="164">
      <sharedItems containsSemiMixedTypes="0" containsString="0" containsNumber="1" minValue="-2.5000000000000001E-2" maxValue="0.02"/>
    </cacheField>
    <cacheField name="Wyprodukowane Lodera" numFmtId="0">
      <sharedItems containsSemiMixedTypes="0" containsString="0" containsNumber="1" containsInteger="1" minValue="312" maxValue="443"/>
    </cacheField>
    <cacheField name="Czy ktos wyprodukowal mniej od 1 kwartalu 2005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n v="1"/>
    <n v="0"/>
    <n v="237"/>
    <n v="0"/>
    <n v="198"/>
    <n v="0"/>
    <n v="207"/>
    <n v="0"/>
    <n v="312"/>
    <s v="nie"/>
  </r>
  <r>
    <x v="0"/>
    <n v="2"/>
    <n v="0.02"/>
    <n v="241"/>
    <n v="2.7E-2"/>
    <n v="203"/>
    <n v="0.03"/>
    <n v="213"/>
    <n v="0.02"/>
    <n v="318"/>
    <s v="nie"/>
  </r>
  <r>
    <x v="0"/>
    <n v="3"/>
    <n v="0.02"/>
    <n v="245"/>
    <n v="2.7E-2"/>
    <n v="208"/>
    <n v="0.03"/>
    <n v="219"/>
    <n v="0.02"/>
    <n v="324"/>
    <s v="nie"/>
  </r>
  <r>
    <x v="0"/>
    <n v="4"/>
    <n v="0.02"/>
    <n v="249"/>
    <n v="2.7E-2"/>
    <n v="213"/>
    <n v="0.03"/>
    <n v="225"/>
    <n v="0.02"/>
    <n v="330"/>
    <s v="nie"/>
  </r>
  <r>
    <x v="1"/>
    <n v="1"/>
    <n v="0.02"/>
    <n v="253"/>
    <n v="2.7E-2"/>
    <n v="218"/>
    <n v="0.03"/>
    <n v="231"/>
    <n v="0.02"/>
    <n v="336"/>
    <s v="nie"/>
  </r>
  <r>
    <x v="1"/>
    <n v="2"/>
    <n v="0.02"/>
    <n v="258"/>
    <n v="2.7E-2"/>
    <n v="223"/>
    <n v="0.03"/>
    <n v="237"/>
    <n v="0.02"/>
    <n v="342"/>
    <s v="nie"/>
  </r>
  <r>
    <x v="1"/>
    <n v="3"/>
    <n v="0.02"/>
    <n v="263"/>
    <n v="2.7E-2"/>
    <n v="229"/>
    <n v="0.03"/>
    <n v="244"/>
    <n v="0.02"/>
    <n v="348"/>
    <s v="nie"/>
  </r>
  <r>
    <x v="1"/>
    <n v="4"/>
    <n v="0.02"/>
    <n v="268"/>
    <n v="2.7E-2"/>
    <n v="235"/>
    <n v="0.03"/>
    <n v="251"/>
    <n v="0.02"/>
    <n v="354"/>
    <s v="nie"/>
  </r>
  <r>
    <x v="2"/>
    <n v="1"/>
    <n v="0.02"/>
    <n v="273"/>
    <n v="2.7E-2"/>
    <n v="241"/>
    <n v="0.03"/>
    <n v="258"/>
    <n v="0.02"/>
    <n v="361"/>
    <s v="nie"/>
  </r>
  <r>
    <x v="2"/>
    <n v="2"/>
    <n v="0.02"/>
    <n v="278"/>
    <n v="2.7E-2"/>
    <n v="247"/>
    <n v="0.03"/>
    <n v="265"/>
    <n v="0.02"/>
    <n v="368"/>
    <s v="nie"/>
  </r>
  <r>
    <x v="2"/>
    <n v="3"/>
    <n v="0.02"/>
    <n v="283"/>
    <n v="2.7E-2"/>
    <n v="253"/>
    <n v="0.03"/>
    <n v="272"/>
    <n v="0.02"/>
    <n v="375"/>
    <s v="nie"/>
  </r>
  <r>
    <x v="2"/>
    <n v="4"/>
    <n v="0.02"/>
    <n v="288"/>
    <n v="2.7E-2"/>
    <n v="259"/>
    <n v="0.03"/>
    <n v="280"/>
    <n v="0.02"/>
    <n v="382"/>
    <s v="nie"/>
  </r>
  <r>
    <x v="3"/>
    <n v="1"/>
    <n v="0.02"/>
    <n v="293"/>
    <n v="2.7E-2"/>
    <n v="265"/>
    <n v="0.03"/>
    <n v="288"/>
    <n v="0.02"/>
    <n v="389"/>
    <s v="nie"/>
  </r>
  <r>
    <x v="3"/>
    <n v="2"/>
    <n v="0.02"/>
    <n v="298"/>
    <n v="2.7E-2"/>
    <n v="272"/>
    <n v="0.03"/>
    <n v="296"/>
    <n v="0.02"/>
    <n v="396"/>
    <s v="nie"/>
  </r>
  <r>
    <x v="3"/>
    <n v="3"/>
    <n v="0.02"/>
    <n v="303"/>
    <n v="2.7E-2"/>
    <n v="279"/>
    <n v="0.03"/>
    <n v="304"/>
    <n v="0.02"/>
    <n v="403"/>
    <s v="nie"/>
  </r>
  <r>
    <x v="3"/>
    <n v="4"/>
    <n v="0.02"/>
    <n v="309"/>
    <n v="2.7E-2"/>
    <n v="286"/>
    <n v="0.03"/>
    <n v="313"/>
    <n v="0.02"/>
    <n v="411"/>
    <s v="nie"/>
  </r>
  <r>
    <x v="4"/>
    <n v="1"/>
    <n v="0.02"/>
    <n v="315"/>
    <n v="2.7E-2"/>
    <n v="293"/>
    <n v="0.03"/>
    <n v="322"/>
    <n v="0.02"/>
    <n v="419"/>
    <s v="nie"/>
  </r>
  <r>
    <x v="4"/>
    <n v="2"/>
    <n v="0.02"/>
    <n v="321"/>
    <n v="2.7E-2"/>
    <n v="300"/>
    <n v="0.03"/>
    <n v="331"/>
    <n v="0.02"/>
    <n v="427"/>
    <s v="nie"/>
  </r>
  <r>
    <x v="4"/>
    <n v="3"/>
    <n v="0.02"/>
    <n v="327"/>
    <n v="2.7E-2"/>
    <n v="308"/>
    <n v="0.03"/>
    <n v="340"/>
    <n v="0.02"/>
    <n v="435"/>
    <s v="nie"/>
  </r>
  <r>
    <x v="4"/>
    <n v="4"/>
    <n v="0.02"/>
    <n v="333"/>
    <n v="2.7E-2"/>
    <n v="316"/>
    <n v="0.03"/>
    <n v="350"/>
    <n v="0.02"/>
    <n v="443"/>
    <s v="nie"/>
  </r>
  <r>
    <x v="5"/>
    <n v="1"/>
    <n v="0"/>
    <n v="333"/>
    <n v="0"/>
    <n v="316"/>
    <n v="0"/>
    <n v="350"/>
    <n v="0"/>
    <n v="443"/>
    <s v="nie"/>
  </r>
  <r>
    <x v="5"/>
    <n v="2"/>
    <n v="0"/>
    <n v="333"/>
    <n v="0"/>
    <n v="316"/>
    <n v="0"/>
    <n v="350"/>
    <n v="0"/>
    <n v="443"/>
    <s v="nie"/>
  </r>
  <r>
    <x v="5"/>
    <n v="3"/>
    <n v="0"/>
    <n v="333"/>
    <n v="0"/>
    <n v="316"/>
    <n v="0"/>
    <n v="350"/>
    <n v="0"/>
    <n v="443"/>
    <s v="nie"/>
  </r>
  <r>
    <x v="5"/>
    <n v="4"/>
    <n v="0"/>
    <n v="333"/>
    <n v="0"/>
    <n v="316"/>
    <n v="0"/>
    <n v="350"/>
    <n v="0"/>
    <n v="443"/>
    <s v="nie"/>
  </r>
  <r>
    <x v="6"/>
    <n v="1"/>
    <n v="-0.01"/>
    <n v="329"/>
    <n v="-1.2E-2"/>
    <n v="312"/>
    <n v="-1.9E-2"/>
    <n v="343"/>
    <n v="-2.5000000000000001E-2"/>
    <n v="431"/>
    <s v="nie"/>
  </r>
  <r>
    <x v="6"/>
    <n v="2"/>
    <n v="-0.01"/>
    <n v="325"/>
    <n v="-1.2E-2"/>
    <n v="308"/>
    <n v="-1.9E-2"/>
    <n v="336"/>
    <n v="-2.5000000000000001E-2"/>
    <n v="420"/>
    <s v="nie"/>
  </r>
  <r>
    <x v="6"/>
    <n v="3"/>
    <n v="-0.01"/>
    <n v="321"/>
    <n v="-1.2E-2"/>
    <n v="304"/>
    <n v="-1.9E-2"/>
    <n v="329"/>
    <n v="-2.5000000000000001E-2"/>
    <n v="409"/>
    <s v="nie"/>
  </r>
  <r>
    <x v="6"/>
    <n v="4"/>
    <n v="-0.01"/>
    <n v="317"/>
    <n v="-1.2E-2"/>
    <n v="300"/>
    <n v="-1.9E-2"/>
    <n v="322"/>
    <n v="-2.5000000000000001E-2"/>
    <n v="398"/>
    <s v="nie"/>
  </r>
  <r>
    <x v="7"/>
    <n v="1"/>
    <n v="-0.01"/>
    <n v="313"/>
    <n v="-1.2E-2"/>
    <n v="296"/>
    <n v="-1.9E-2"/>
    <n v="315"/>
    <n v="-2.5000000000000001E-2"/>
    <n v="388"/>
    <s v="nie"/>
  </r>
  <r>
    <x v="7"/>
    <n v="2"/>
    <n v="-0.01"/>
    <n v="309"/>
    <n v="-1.2E-2"/>
    <n v="292"/>
    <n v="-1.9E-2"/>
    <n v="309"/>
    <n v="-2.5000000000000001E-2"/>
    <n v="378"/>
    <s v="nie"/>
  </r>
  <r>
    <x v="7"/>
    <n v="3"/>
    <n v="-0.01"/>
    <n v="305"/>
    <n v="-1.2E-2"/>
    <n v="288"/>
    <n v="-1.9E-2"/>
    <n v="303"/>
    <n v="-2.5000000000000001E-2"/>
    <n v="368"/>
    <s v="nie"/>
  </r>
  <r>
    <x v="7"/>
    <n v="4"/>
    <n v="-0.01"/>
    <n v="301"/>
    <n v="-1.2E-2"/>
    <n v="284"/>
    <n v="-1.9E-2"/>
    <n v="297"/>
    <n v="-2.5000000000000001E-2"/>
    <n v="358"/>
    <s v="ni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626B2-B784-4B77-8E3C-625A6867141D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6">
  <location ref="A3:E12" firstHeaderRow="0" firstDataRow="1" firstDataCol="1"/>
  <pivotFields count="11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numFmtId="164" showAll="0"/>
    <pivotField dataField="1" showAll="0"/>
    <pivotField numFmtId="164" showAll="0"/>
    <pivotField dataField="1" showAll="0"/>
    <pivotField numFmtId="164" showAll="0"/>
    <pivotField dataField="1" showAll="0"/>
    <pivotField numFmtId="164" showAll="0"/>
    <pivotField dataField="1"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z Wyprodukowane Dama" fld="3" baseField="0" baseItem="0"/>
    <dataField name="Suma z Wyprodukowane Granta" fld="5" baseField="0" baseItem="0"/>
    <dataField name="Suma z Wyprodukowane Dorkas" fld="7" baseField="0" baseItem="0"/>
    <dataField name="Suma z Wyprodukowane Lodera" fld="9" baseField="0" baseItem="0"/>
  </dataField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019E75-FA11-4386-89F8-DB19F89BF926}" name="Tabela2" displayName="Tabela2" ref="A1:K33" totalsRowShown="0" headerRowDxfId="0" headerRowCellStyle="Procentowy">
  <autoFilter ref="A1:K33" xr:uid="{EC019E75-FA11-4386-89F8-DB19F89BF926}"/>
  <tableColumns count="11">
    <tableColumn id="1" xr3:uid="{481CCE26-EE88-44D1-BEFF-1C0342C71423}" name="Rok" dataDxfId="6"/>
    <tableColumn id="2" xr3:uid="{F42A6B93-D641-4135-AD59-9ADE3792BD8E}" name="Kwartał" dataDxfId="5"/>
    <tableColumn id="3" xr3:uid="{49492EA0-019A-43A5-9AB2-1E58C16A7E46}" name="Wzrost Dama(%)" dataDxfId="4" dataCellStyle="Procentowy"/>
    <tableColumn id="4" xr3:uid="{EA682321-BD11-4AF3-B571-C6AF6B6DA6DB}" name="Wyprodukowane Dama">
      <calculatedColumnFormula>INT(D1*(1+C2))</calculatedColumnFormula>
    </tableColumn>
    <tableColumn id="5" xr3:uid="{EF22B041-B7C4-4541-B529-D9B5471BBEC8}" name="Wzrost Granta(%)" dataDxfId="3" dataCellStyle="Procentowy"/>
    <tableColumn id="6" xr3:uid="{78710A84-76C8-48D4-9C63-5EAEC3447698}" name="Wyprodukowane Granta">
      <calculatedColumnFormula>INT(F1*(1+E2))</calculatedColumnFormula>
    </tableColumn>
    <tableColumn id="7" xr3:uid="{69A45D14-372D-48CD-9320-63667BFAE37C}" name="Wzrost Dorkas(%)" dataDxfId="2" dataCellStyle="Procentowy"/>
    <tableColumn id="8" xr3:uid="{6358A87A-6A57-4465-916F-85B746FB3E02}" name="Wyprodukowane Dorkas">
      <calculatedColumnFormula>INT(H1*(1+G2))</calculatedColumnFormula>
    </tableColumn>
    <tableColumn id="9" xr3:uid="{64F5DDCD-04B1-4BFF-96BE-4D51B4B44480}" name="Wzrost Lodera(%)" dataDxfId="1" dataCellStyle="Procentowy"/>
    <tableColumn id="10" xr3:uid="{34B9ACCB-7688-4B1B-BDD3-5955940FD195}" name="Wyprodukowane Lodera">
      <calculatedColumnFormula>INT(J1*(1+I2))</calculatedColumnFormula>
    </tableColumn>
    <tableColumn id="11" xr3:uid="{A8ABEFBA-61DE-4507-BE25-CC3970934E8C}" name="Czy ktos wyprodukowal mniej od 1 kwartalu 2005">
      <calculatedColumnFormula>IF(OR(D2&lt;$D$2,F2&lt;$F$2,H2&lt;$H$2,J2&lt;$J$2),"tak","nie")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9EA6-7F6E-43CB-9260-891345F8C335}">
  <dimension ref="A3:E12"/>
  <sheetViews>
    <sheetView tabSelected="1" topLeftCell="A5" workbookViewId="0">
      <selection activeCell="J12" sqref="J12"/>
    </sheetView>
  </sheetViews>
  <sheetFormatPr defaultRowHeight="15" x14ac:dyDescent="0.25"/>
  <cols>
    <col min="1" max="1" width="17.7109375" bestFit="1" customWidth="1"/>
    <col min="2" max="2" width="28.85546875" bestFit="1" customWidth="1"/>
    <col min="3" max="32" width="30" bestFit="1" customWidth="1"/>
    <col min="33" max="33" width="36" bestFit="1" customWidth="1"/>
    <col min="34" max="36" width="37" bestFit="1" customWidth="1"/>
  </cols>
  <sheetData>
    <row r="3" spans="1:5" x14ac:dyDescent="0.25">
      <c r="A3" s="6" t="s">
        <v>18</v>
      </c>
      <c r="B3" t="s">
        <v>14</v>
      </c>
      <c r="C3" t="s">
        <v>15</v>
      </c>
      <c r="D3" t="s">
        <v>16</v>
      </c>
      <c r="E3" t="s">
        <v>17</v>
      </c>
    </row>
    <row r="4" spans="1:5" x14ac:dyDescent="0.25">
      <c r="A4" s="7">
        <v>2005</v>
      </c>
      <c r="B4" s="5">
        <v>972</v>
      </c>
      <c r="C4" s="5">
        <v>822</v>
      </c>
      <c r="D4" s="5">
        <v>864</v>
      </c>
      <c r="E4" s="5">
        <v>1284</v>
      </c>
    </row>
    <row r="5" spans="1:5" x14ac:dyDescent="0.25">
      <c r="A5" s="7">
        <v>2006</v>
      </c>
      <c r="B5" s="5">
        <v>1042</v>
      </c>
      <c r="C5" s="5">
        <v>905</v>
      </c>
      <c r="D5" s="5">
        <v>963</v>
      </c>
      <c r="E5" s="5">
        <v>1380</v>
      </c>
    </row>
    <row r="6" spans="1:5" x14ac:dyDescent="0.25">
      <c r="A6" s="7">
        <v>2007</v>
      </c>
      <c r="B6" s="5">
        <v>1122</v>
      </c>
      <c r="C6" s="5">
        <v>1000</v>
      </c>
      <c r="D6" s="5">
        <v>1075</v>
      </c>
      <c r="E6" s="5">
        <v>1486</v>
      </c>
    </row>
    <row r="7" spans="1:5" x14ac:dyDescent="0.25">
      <c r="A7" s="7">
        <v>2008</v>
      </c>
      <c r="B7" s="5">
        <v>1203</v>
      </c>
      <c r="C7" s="5">
        <v>1102</v>
      </c>
      <c r="D7" s="5">
        <v>1201</v>
      </c>
      <c r="E7" s="5">
        <v>1599</v>
      </c>
    </row>
    <row r="8" spans="1:5" x14ac:dyDescent="0.25">
      <c r="A8" s="7">
        <v>2009</v>
      </c>
      <c r="B8" s="5">
        <v>1296</v>
      </c>
      <c r="C8" s="5">
        <v>1217</v>
      </c>
      <c r="D8" s="5">
        <v>1343</v>
      </c>
      <c r="E8" s="5">
        <v>1724</v>
      </c>
    </row>
    <row r="9" spans="1:5" x14ac:dyDescent="0.25">
      <c r="A9" s="7">
        <v>2010</v>
      </c>
      <c r="B9" s="5">
        <v>1332</v>
      </c>
      <c r="C9" s="5">
        <v>1264</v>
      </c>
      <c r="D9" s="5">
        <v>1400</v>
      </c>
      <c r="E9" s="5">
        <v>1772</v>
      </c>
    </row>
    <row r="10" spans="1:5" x14ac:dyDescent="0.25">
      <c r="A10" s="7">
        <v>2011</v>
      </c>
      <c r="B10" s="5">
        <v>1292</v>
      </c>
      <c r="C10" s="5">
        <v>1224</v>
      </c>
      <c r="D10" s="5">
        <v>1330</v>
      </c>
      <c r="E10" s="5">
        <v>1658</v>
      </c>
    </row>
    <row r="11" spans="1:5" x14ac:dyDescent="0.25">
      <c r="A11" s="7">
        <v>2012</v>
      </c>
      <c r="B11" s="5">
        <v>1228</v>
      </c>
      <c r="C11" s="5">
        <v>1160</v>
      </c>
      <c r="D11" s="5">
        <v>1224</v>
      </c>
      <c r="E11" s="5">
        <v>1492</v>
      </c>
    </row>
    <row r="12" spans="1:5" x14ac:dyDescent="0.25">
      <c r="A12" s="7" t="s">
        <v>19</v>
      </c>
      <c r="B12" s="5">
        <v>9487</v>
      </c>
      <c r="C12" s="5">
        <v>8694</v>
      </c>
      <c r="D12" s="5">
        <v>9400</v>
      </c>
      <c r="E12" s="5">
        <v>12395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E1A04-7BD5-4352-AB9D-0E53A1D33834}">
  <dimension ref="A1:K57"/>
  <sheetViews>
    <sheetView zoomScaleNormal="100" workbookViewId="0">
      <selection activeCell="B5" sqref="B5"/>
    </sheetView>
  </sheetViews>
  <sheetFormatPr defaultRowHeight="15" x14ac:dyDescent="0.25"/>
  <cols>
    <col min="1" max="1" width="12.7109375" bestFit="1" customWidth="1"/>
    <col min="2" max="2" width="9.85546875" customWidth="1"/>
    <col min="3" max="3" width="17.85546875" style="1" customWidth="1"/>
    <col min="4" max="4" width="23.85546875" customWidth="1"/>
    <col min="5" max="5" width="18.85546875" style="1" customWidth="1"/>
    <col min="6" max="6" width="24.85546875" customWidth="1"/>
    <col min="7" max="7" width="18.85546875" style="1" customWidth="1"/>
    <col min="8" max="8" width="24.85546875" customWidth="1"/>
    <col min="9" max="9" width="18.85546875" style="1" customWidth="1"/>
    <col min="10" max="10" width="34" bestFit="1" customWidth="1"/>
    <col min="11" max="11" width="46.140625" customWidth="1"/>
  </cols>
  <sheetData>
    <row r="1" spans="1:11" x14ac:dyDescent="0.25">
      <c r="A1" t="s">
        <v>0</v>
      </c>
      <c r="B1" t="s">
        <v>1</v>
      </c>
      <c r="C1" s="1" t="s">
        <v>9</v>
      </c>
      <c r="D1" t="s">
        <v>2</v>
      </c>
      <c r="E1" s="1" t="s">
        <v>8</v>
      </c>
      <c r="F1" t="s">
        <v>3</v>
      </c>
      <c r="G1" s="1" t="s">
        <v>7</v>
      </c>
      <c r="H1" t="s">
        <v>4</v>
      </c>
      <c r="I1" s="1" t="s">
        <v>6</v>
      </c>
      <c r="J1" t="s">
        <v>5</v>
      </c>
      <c r="K1" s="1" t="s">
        <v>10</v>
      </c>
    </row>
    <row r="2" spans="1:11" x14ac:dyDescent="0.25">
      <c r="A2" s="2">
        <v>2005</v>
      </c>
      <c r="B2" s="2">
        <v>1</v>
      </c>
      <c r="C2" s="1">
        <v>0</v>
      </c>
      <c r="D2">
        <v>237</v>
      </c>
      <c r="E2" s="1">
        <v>0</v>
      </c>
      <c r="F2">
        <v>198</v>
      </c>
      <c r="G2" s="1">
        <v>0</v>
      </c>
      <c r="H2">
        <v>207</v>
      </c>
      <c r="I2" s="1">
        <v>0</v>
      </c>
      <c r="J2">
        <v>312</v>
      </c>
      <c r="K2" t="s">
        <v>11</v>
      </c>
    </row>
    <row r="3" spans="1:11" x14ac:dyDescent="0.25">
      <c r="A3" s="3">
        <v>2005</v>
      </c>
      <c r="B3" s="3">
        <v>2</v>
      </c>
      <c r="C3" s="1">
        <v>0.02</v>
      </c>
      <c r="D3">
        <f>INT(D2*(1+C3))</f>
        <v>241</v>
      </c>
      <c r="E3" s="1">
        <v>2.7E-2</v>
      </c>
      <c r="F3">
        <f>INT(F2*(1+E3))</f>
        <v>203</v>
      </c>
      <c r="G3" s="1">
        <v>0.03</v>
      </c>
      <c r="H3">
        <f>INT(H2*(1+G3))</f>
        <v>213</v>
      </c>
      <c r="I3" s="1">
        <v>0.02</v>
      </c>
      <c r="J3">
        <f>INT(J2*(1+I3))</f>
        <v>318</v>
      </c>
      <c r="K3" t="str">
        <f>IF(OR(D3&lt;$D$2,F3&lt;$F$2,H3&lt;$H$2,J3&lt;$J$2),"tak","nie")</f>
        <v>nie</v>
      </c>
    </row>
    <row r="4" spans="1:11" x14ac:dyDescent="0.25">
      <c r="A4" s="2">
        <v>2005</v>
      </c>
      <c r="B4" s="2">
        <v>3</v>
      </c>
      <c r="C4" s="1">
        <v>0.02</v>
      </c>
      <c r="D4">
        <f t="shared" ref="D4:D53" si="0">INT(D3*(1+C4))</f>
        <v>245</v>
      </c>
      <c r="E4" s="1">
        <v>2.7E-2</v>
      </c>
      <c r="F4">
        <f t="shared" ref="F4:F53" si="1">INT(F3*(1+E4))</f>
        <v>208</v>
      </c>
      <c r="G4" s="1">
        <v>0.03</v>
      </c>
      <c r="H4">
        <f t="shared" ref="H4:H53" si="2">INT(H3*(1+G4))</f>
        <v>219</v>
      </c>
      <c r="I4" s="1">
        <v>0.02</v>
      </c>
      <c r="J4">
        <f t="shared" ref="J4:J53" si="3">INT(J3*(1+I4))</f>
        <v>324</v>
      </c>
      <c r="K4" t="str">
        <f t="shared" ref="K4:K53" si="4">IF(OR(D4&lt;$D$2,F4&lt;$F$2,H4&lt;$H$2,J4&lt;$J$2),"tak","nie")</f>
        <v>nie</v>
      </c>
    </row>
    <row r="5" spans="1:11" x14ac:dyDescent="0.25">
      <c r="A5" s="3">
        <v>2005</v>
      </c>
      <c r="B5" s="3">
        <v>4</v>
      </c>
      <c r="C5" s="1">
        <v>0.02</v>
      </c>
      <c r="D5">
        <f t="shared" si="0"/>
        <v>249</v>
      </c>
      <c r="E5" s="1">
        <v>2.7E-2</v>
      </c>
      <c r="F5">
        <f t="shared" si="1"/>
        <v>213</v>
      </c>
      <c r="G5" s="1">
        <v>0.03</v>
      </c>
      <c r="H5">
        <f t="shared" si="2"/>
        <v>225</v>
      </c>
      <c r="I5" s="1">
        <v>0.02</v>
      </c>
      <c r="J5">
        <f t="shared" si="3"/>
        <v>330</v>
      </c>
      <c r="K5" t="str">
        <f t="shared" si="4"/>
        <v>nie</v>
      </c>
    </row>
    <row r="6" spans="1:11" x14ac:dyDescent="0.25">
      <c r="A6" s="2">
        <v>2006</v>
      </c>
      <c r="B6" s="2">
        <v>1</v>
      </c>
      <c r="C6" s="1">
        <v>0.02</v>
      </c>
      <c r="D6">
        <f t="shared" si="0"/>
        <v>253</v>
      </c>
      <c r="E6" s="1">
        <v>2.7E-2</v>
      </c>
      <c r="F6">
        <f t="shared" si="1"/>
        <v>218</v>
      </c>
      <c r="G6" s="1">
        <v>0.03</v>
      </c>
      <c r="H6">
        <f t="shared" si="2"/>
        <v>231</v>
      </c>
      <c r="I6" s="1">
        <v>0.02</v>
      </c>
      <c r="J6">
        <f t="shared" si="3"/>
        <v>336</v>
      </c>
      <c r="K6" t="str">
        <f t="shared" si="4"/>
        <v>nie</v>
      </c>
    </row>
    <row r="7" spans="1:11" x14ac:dyDescent="0.25">
      <c r="A7" s="3">
        <v>2006</v>
      </c>
      <c r="B7" s="3">
        <v>2</v>
      </c>
      <c r="C7" s="1">
        <v>0.02</v>
      </c>
      <c r="D7">
        <f t="shared" si="0"/>
        <v>258</v>
      </c>
      <c r="E7" s="1">
        <v>2.7E-2</v>
      </c>
      <c r="F7">
        <f t="shared" si="1"/>
        <v>223</v>
      </c>
      <c r="G7" s="1">
        <v>0.03</v>
      </c>
      <c r="H7">
        <f t="shared" si="2"/>
        <v>237</v>
      </c>
      <c r="I7" s="1">
        <v>0.02</v>
      </c>
      <c r="J7">
        <f t="shared" si="3"/>
        <v>342</v>
      </c>
      <c r="K7" t="str">
        <f t="shared" si="4"/>
        <v>nie</v>
      </c>
    </row>
    <row r="8" spans="1:11" x14ac:dyDescent="0.25">
      <c r="A8" s="2">
        <v>2006</v>
      </c>
      <c r="B8" s="2">
        <v>3</v>
      </c>
      <c r="C8" s="1">
        <v>0.02</v>
      </c>
      <c r="D8">
        <f t="shared" si="0"/>
        <v>263</v>
      </c>
      <c r="E8" s="1">
        <v>2.7E-2</v>
      </c>
      <c r="F8">
        <f t="shared" si="1"/>
        <v>229</v>
      </c>
      <c r="G8" s="1">
        <v>0.03</v>
      </c>
      <c r="H8">
        <f t="shared" si="2"/>
        <v>244</v>
      </c>
      <c r="I8" s="1">
        <v>0.02</v>
      </c>
      <c r="J8">
        <f t="shared" si="3"/>
        <v>348</v>
      </c>
      <c r="K8" t="str">
        <f t="shared" si="4"/>
        <v>nie</v>
      </c>
    </row>
    <row r="9" spans="1:11" x14ac:dyDescent="0.25">
      <c r="A9" s="3">
        <v>2006</v>
      </c>
      <c r="B9" s="3">
        <v>4</v>
      </c>
      <c r="C9" s="1">
        <v>0.02</v>
      </c>
      <c r="D9">
        <f t="shared" si="0"/>
        <v>268</v>
      </c>
      <c r="E9" s="1">
        <v>2.7E-2</v>
      </c>
      <c r="F9">
        <f t="shared" si="1"/>
        <v>235</v>
      </c>
      <c r="G9" s="1">
        <v>0.03</v>
      </c>
      <c r="H9">
        <f t="shared" si="2"/>
        <v>251</v>
      </c>
      <c r="I9" s="1">
        <v>0.02</v>
      </c>
      <c r="J9">
        <f t="shared" si="3"/>
        <v>354</v>
      </c>
      <c r="K9" t="str">
        <f t="shared" si="4"/>
        <v>nie</v>
      </c>
    </row>
    <row r="10" spans="1:11" x14ac:dyDescent="0.25">
      <c r="A10" s="2">
        <v>2007</v>
      </c>
      <c r="B10" s="2">
        <v>1</v>
      </c>
      <c r="C10" s="1">
        <v>0.02</v>
      </c>
      <c r="D10">
        <f t="shared" si="0"/>
        <v>273</v>
      </c>
      <c r="E10" s="1">
        <v>2.7E-2</v>
      </c>
      <c r="F10">
        <f t="shared" si="1"/>
        <v>241</v>
      </c>
      <c r="G10" s="1">
        <v>0.03</v>
      </c>
      <c r="H10">
        <f t="shared" si="2"/>
        <v>258</v>
      </c>
      <c r="I10" s="1">
        <v>0.02</v>
      </c>
      <c r="J10">
        <f t="shared" si="3"/>
        <v>361</v>
      </c>
      <c r="K10" t="str">
        <f t="shared" si="4"/>
        <v>nie</v>
      </c>
    </row>
    <row r="11" spans="1:11" x14ac:dyDescent="0.25">
      <c r="A11" s="3">
        <v>2007</v>
      </c>
      <c r="B11" s="3">
        <v>2</v>
      </c>
      <c r="C11" s="1">
        <v>0.02</v>
      </c>
      <c r="D11">
        <f t="shared" si="0"/>
        <v>278</v>
      </c>
      <c r="E11" s="1">
        <v>2.7E-2</v>
      </c>
      <c r="F11">
        <f t="shared" si="1"/>
        <v>247</v>
      </c>
      <c r="G11" s="1">
        <v>0.03</v>
      </c>
      <c r="H11">
        <f t="shared" si="2"/>
        <v>265</v>
      </c>
      <c r="I11" s="1">
        <v>0.02</v>
      </c>
      <c r="J11">
        <f t="shared" si="3"/>
        <v>368</v>
      </c>
      <c r="K11" t="str">
        <f t="shared" si="4"/>
        <v>nie</v>
      </c>
    </row>
    <row r="12" spans="1:11" x14ac:dyDescent="0.25">
      <c r="A12" s="2">
        <v>2007</v>
      </c>
      <c r="B12" s="2">
        <v>3</v>
      </c>
      <c r="C12" s="1">
        <v>0.02</v>
      </c>
      <c r="D12">
        <f t="shared" si="0"/>
        <v>283</v>
      </c>
      <c r="E12" s="1">
        <v>2.7E-2</v>
      </c>
      <c r="F12">
        <f t="shared" si="1"/>
        <v>253</v>
      </c>
      <c r="G12" s="1">
        <v>0.03</v>
      </c>
      <c r="H12">
        <f t="shared" si="2"/>
        <v>272</v>
      </c>
      <c r="I12" s="1">
        <v>0.02</v>
      </c>
      <c r="J12">
        <f t="shared" si="3"/>
        <v>375</v>
      </c>
      <c r="K12" t="str">
        <f t="shared" si="4"/>
        <v>nie</v>
      </c>
    </row>
    <row r="13" spans="1:11" x14ac:dyDescent="0.25">
      <c r="A13" s="3">
        <v>2007</v>
      </c>
      <c r="B13" s="3">
        <v>4</v>
      </c>
      <c r="C13" s="1">
        <v>0.02</v>
      </c>
      <c r="D13">
        <f t="shared" si="0"/>
        <v>288</v>
      </c>
      <c r="E13" s="1">
        <v>2.7E-2</v>
      </c>
      <c r="F13">
        <f t="shared" si="1"/>
        <v>259</v>
      </c>
      <c r="G13" s="1">
        <v>0.03</v>
      </c>
      <c r="H13">
        <f t="shared" si="2"/>
        <v>280</v>
      </c>
      <c r="I13" s="1">
        <v>0.02</v>
      </c>
      <c r="J13">
        <f t="shared" si="3"/>
        <v>382</v>
      </c>
      <c r="K13" t="str">
        <f t="shared" si="4"/>
        <v>nie</v>
      </c>
    </row>
    <row r="14" spans="1:11" x14ac:dyDescent="0.25">
      <c r="A14" s="2">
        <v>2008</v>
      </c>
      <c r="B14" s="2">
        <v>1</v>
      </c>
      <c r="C14" s="1">
        <v>0.02</v>
      </c>
      <c r="D14">
        <f t="shared" si="0"/>
        <v>293</v>
      </c>
      <c r="E14" s="1">
        <v>2.7E-2</v>
      </c>
      <c r="F14">
        <f t="shared" si="1"/>
        <v>265</v>
      </c>
      <c r="G14" s="1">
        <v>0.03</v>
      </c>
      <c r="H14">
        <f t="shared" si="2"/>
        <v>288</v>
      </c>
      <c r="I14" s="1">
        <v>0.02</v>
      </c>
      <c r="J14">
        <f t="shared" si="3"/>
        <v>389</v>
      </c>
      <c r="K14" t="str">
        <f t="shared" si="4"/>
        <v>nie</v>
      </c>
    </row>
    <row r="15" spans="1:11" x14ac:dyDescent="0.25">
      <c r="A15" s="3">
        <v>2008</v>
      </c>
      <c r="B15" s="3">
        <v>2</v>
      </c>
      <c r="C15" s="1">
        <v>0.02</v>
      </c>
      <c r="D15">
        <f t="shared" si="0"/>
        <v>298</v>
      </c>
      <c r="E15" s="1">
        <v>2.7E-2</v>
      </c>
      <c r="F15">
        <f t="shared" si="1"/>
        <v>272</v>
      </c>
      <c r="G15" s="1">
        <v>0.03</v>
      </c>
      <c r="H15">
        <f t="shared" si="2"/>
        <v>296</v>
      </c>
      <c r="I15" s="1">
        <v>0.02</v>
      </c>
      <c r="J15">
        <f t="shared" si="3"/>
        <v>396</v>
      </c>
      <c r="K15" t="str">
        <f t="shared" si="4"/>
        <v>nie</v>
      </c>
    </row>
    <row r="16" spans="1:11" x14ac:dyDescent="0.25">
      <c r="A16" s="2">
        <v>2008</v>
      </c>
      <c r="B16" s="2">
        <v>3</v>
      </c>
      <c r="C16" s="1">
        <v>0.02</v>
      </c>
      <c r="D16">
        <f t="shared" si="0"/>
        <v>303</v>
      </c>
      <c r="E16" s="1">
        <v>2.7E-2</v>
      </c>
      <c r="F16">
        <f t="shared" si="1"/>
        <v>279</v>
      </c>
      <c r="G16" s="1">
        <v>0.03</v>
      </c>
      <c r="H16">
        <f t="shared" si="2"/>
        <v>304</v>
      </c>
      <c r="I16" s="1">
        <v>0.02</v>
      </c>
      <c r="J16">
        <f t="shared" si="3"/>
        <v>403</v>
      </c>
      <c r="K16" t="str">
        <f t="shared" si="4"/>
        <v>nie</v>
      </c>
    </row>
    <row r="17" spans="1:11" x14ac:dyDescent="0.25">
      <c r="A17" s="3">
        <v>2008</v>
      </c>
      <c r="B17" s="3">
        <v>4</v>
      </c>
      <c r="C17" s="1">
        <v>0.02</v>
      </c>
      <c r="D17">
        <f t="shared" si="0"/>
        <v>309</v>
      </c>
      <c r="E17" s="1">
        <v>2.7E-2</v>
      </c>
      <c r="F17">
        <f t="shared" si="1"/>
        <v>286</v>
      </c>
      <c r="G17" s="1">
        <v>0.03</v>
      </c>
      <c r="H17">
        <f t="shared" si="2"/>
        <v>313</v>
      </c>
      <c r="I17" s="1">
        <v>0.02</v>
      </c>
      <c r="J17">
        <f t="shared" si="3"/>
        <v>411</v>
      </c>
      <c r="K17" t="str">
        <f t="shared" si="4"/>
        <v>nie</v>
      </c>
    </row>
    <row r="18" spans="1:11" x14ac:dyDescent="0.25">
      <c r="A18" s="2">
        <v>2009</v>
      </c>
      <c r="B18" s="2">
        <v>1</v>
      </c>
      <c r="C18" s="1">
        <v>0.02</v>
      </c>
      <c r="D18">
        <f t="shared" si="0"/>
        <v>315</v>
      </c>
      <c r="E18" s="1">
        <v>2.7E-2</v>
      </c>
      <c r="F18">
        <f t="shared" si="1"/>
        <v>293</v>
      </c>
      <c r="G18" s="1">
        <v>0.03</v>
      </c>
      <c r="H18">
        <f t="shared" si="2"/>
        <v>322</v>
      </c>
      <c r="I18" s="1">
        <v>0.02</v>
      </c>
      <c r="J18">
        <f t="shared" si="3"/>
        <v>419</v>
      </c>
      <c r="K18" t="str">
        <f t="shared" si="4"/>
        <v>nie</v>
      </c>
    </row>
    <row r="19" spans="1:11" x14ac:dyDescent="0.25">
      <c r="A19" s="3">
        <v>2009</v>
      </c>
      <c r="B19" s="3">
        <v>2</v>
      </c>
      <c r="C19" s="1">
        <v>0.02</v>
      </c>
      <c r="D19">
        <f t="shared" si="0"/>
        <v>321</v>
      </c>
      <c r="E19" s="1">
        <v>2.7E-2</v>
      </c>
      <c r="F19">
        <f t="shared" si="1"/>
        <v>300</v>
      </c>
      <c r="G19" s="1">
        <v>0.03</v>
      </c>
      <c r="H19">
        <f t="shared" si="2"/>
        <v>331</v>
      </c>
      <c r="I19" s="1">
        <v>0.02</v>
      </c>
      <c r="J19">
        <f t="shared" si="3"/>
        <v>427</v>
      </c>
      <c r="K19" t="str">
        <f t="shared" si="4"/>
        <v>nie</v>
      </c>
    </row>
    <row r="20" spans="1:11" x14ac:dyDescent="0.25">
      <c r="A20" s="2">
        <v>2009</v>
      </c>
      <c r="B20" s="2">
        <v>3</v>
      </c>
      <c r="C20" s="1">
        <v>0.02</v>
      </c>
      <c r="D20">
        <f t="shared" si="0"/>
        <v>327</v>
      </c>
      <c r="E20" s="1">
        <v>2.7E-2</v>
      </c>
      <c r="F20">
        <f t="shared" si="1"/>
        <v>308</v>
      </c>
      <c r="G20" s="1">
        <v>0.03</v>
      </c>
      <c r="H20">
        <f t="shared" si="2"/>
        <v>340</v>
      </c>
      <c r="I20" s="1">
        <v>0.02</v>
      </c>
      <c r="J20">
        <f t="shared" si="3"/>
        <v>435</v>
      </c>
      <c r="K20" t="str">
        <f t="shared" si="4"/>
        <v>nie</v>
      </c>
    </row>
    <row r="21" spans="1:11" x14ac:dyDescent="0.25">
      <c r="A21" s="3">
        <v>2009</v>
      </c>
      <c r="B21" s="3">
        <v>4</v>
      </c>
      <c r="C21" s="1">
        <v>0.02</v>
      </c>
      <c r="D21">
        <f t="shared" si="0"/>
        <v>333</v>
      </c>
      <c r="E21" s="1">
        <v>2.7E-2</v>
      </c>
      <c r="F21">
        <f t="shared" si="1"/>
        <v>316</v>
      </c>
      <c r="G21" s="1">
        <v>0.03</v>
      </c>
      <c r="H21">
        <f t="shared" si="2"/>
        <v>350</v>
      </c>
      <c r="I21" s="1">
        <v>0.02</v>
      </c>
      <c r="J21">
        <f t="shared" si="3"/>
        <v>443</v>
      </c>
      <c r="K21" t="str">
        <f t="shared" si="4"/>
        <v>nie</v>
      </c>
    </row>
    <row r="22" spans="1:11" x14ac:dyDescent="0.25">
      <c r="A22" s="2">
        <v>2010</v>
      </c>
      <c r="B22" s="2">
        <v>1</v>
      </c>
      <c r="C22" s="1">
        <v>0</v>
      </c>
      <c r="D22">
        <f t="shared" si="0"/>
        <v>333</v>
      </c>
      <c r="E22" s="1">
        <v>0</v>
      </c>
      <c r="F22">
        <f t="shared" si="1"/>
        <v>316</v>
      </c>
      <c r="G22" s="1">
        <v>0</v>
      </c>
      <c r="H22">
        <f t="shared" si="2"/>
        <v>350</v>
      </c>
      <c r="I22" s="1">
        <v>0</v>
      </c>
      <c r="J22">
        <f t="shared" si="3"/>
        <v>443</v>
      </c>
      <c r="K22" t="str">
        <f t="shared" si="4"/>
        <v>nie</v>
      </c>
    </row>
    <row r="23" spans="1:11" x14ac:dyDescent="0.25">
      <c r="A23" s="3">
        <v>2010</v>
      </c>
      <c r="B23" s="3">
        <v>2</v>
      </c>
      <c r="C23" s="1">
        <v>0</v>
      </c>
      <c r="D23">
        <f t="shared" si="0"/>
        <v>333</v>
      </c>
      <c r="E23" s="1">
        <v>0</v>
      </c>
      <c r="F23">
        <f t="shared" si="1"/>
        <v>316</v>
      </c>
      <c r="G23" s="1">
        <v>0</v>
      </c>
      <c r="H23">
        <f t="shared" si="2"/>
        <v>350</v>
      </c>
      <c r="I23" s="1">
        <v>0</v>
      </c>
      <c r="J23">
        <f t="shared" si="3"/>
        <v>443</v>
      </c>
      <c r="K23" t="str">
        <f t="shared" si="4"/>
        <v>nie</v>
      </c>
    </row>
    <row r="24" spans="1:11" x14ac:dyDescent="0.25">
      <c r="A24" s="2">
        <v>2010</v>
      </c>
      <c r="B24" s="2">
        <v>3</v>
      </c>
      <c r="C24" s="1">
        <v>0</v>
      </c>
      <c r="D24">
        <f t="shared" si="0"/>
        <v>333</v>
      </c>
      <c r="E24" s="1">
        <v>0</v>
      </c>
      <c r="F24">
        <f t="shared" si="1"/>
        <v>316</v>
      </c>
      <c r="G24" s="1">
        <v>0</v>
      </c>
      <c r="H24">
        <f t="shared" si="2"/>
        <v>350</v>
      </c>
      <c r="I24" s="1">
        <v>0</v>
      </c>
      <c r="J24">
        <f t="shared" si="3"/>
        <v>443</v>
      </c>
      <c r="K24" t="str">
        <f t="shared" si="4"/>
        <v>nie</v>
      </c>
    </row>
    <row r="25" spans="1:11" x14ac:dyDescent="0.25">
      <c r="A25" s="3">
        <v>2010</v>
      </c>
      <c r="B25" s="3">
        <v>4</v>
      </c>
      <c r="C25" s="1">
        <v>0</v>
      </c>
      <c r="D25">
        <f t="shared" si="0"/>
        <v>333</v>
      </c>
      <c r="E25" s="1">
        <v>0</v>
      </c>
      <c r="F25">
        <f t="shared" si="1"/>
        <v>316</v>
      </c>
      <c r="G25" s="1">
        <v>0</v>
      </c>
      <c r="H25">
        <f t="shared" si="2"/>
        <v>350</v>
      </c>
      <c r="I25" s="1">
        <v>0</v>
      </c>
      <c r="J25">
        <f t="shared" si="3"/>
        <v>443</v>
      </c>
      <c r="K25" t="str">
        <f t="shared" si="4"/>
        <v>nie</v>
      </c>
    </row>
    <row r="26" spans="1:11" x14ac:dyDescent="0.25">
      <c r="A26" s="2">
        <v>2011</v>
      </c>
      <c r="B26" s="2">
        <v>1</v>
      </c>
      <c r="C26" s="1">
        <v>-0.01</v>
      </c>
      <c r="D26">
        <f t="shared" si="0"/>
        <v>329</v>
      </c>
      <c r="E26" s="1">
        <v>-1.2E-2</v>
      </c>
      <c r="F26">
        <f t="shared" si="1"/>
        <v>312</v>
      </c>
      <c r="G26" s="1">
        <v>-1.9E-2</v>
      </c>
      <c r="H26">
        <f t="shared" si="2"/>
        <v>343</v>
      </c>
      <c r="I26" s="1">
        <v>-2.5000000000000001E-2</v>
      </c>
      <c r="J26">
        <f t="shared" si="3"/>
        <v>431</v>
      </c>
      <c r="K26" t="str">
        <f t="shared" si="4"/>
        <v>nie</v>
      </c>
    </row>
    <row r="27" spans="1:11" x14ac:dyDescent="0.25">
      <c r="A27" s="3">
        <v>2011</v>
      </c>
      <c r="B27" s="3">
        <v>2</v>
      </c>
      <c r="C27" s="1">
        <v>-0.01</v>
      </c>
      <c r="D27">
        <f t="shared" si="0"/>
        <v>325</v>
      </c>
      <c r="E27" s="1">
        <v>-1.2E-2</v>
      </c>
      <c r="F27">
        <f t="shared" si="1"/>
        <v>308</v>
      </c>
      <c r="G27" s="1">
        <v>-1.9E-2</v>
      </c>
      <c r="H27">
        <f t="shared" si="2"/>
        <v>336</v>
      </c>
      <c r="I27" s="1">
        <v>-2.5000000000000001E-2</v>
      </c>
      <c r="J27">
        <f t="shared" si="3"/>
        <v>420</v>
      </c>
      <c r="K27" t="str">
        <f t="shared" si="4"/>
        <v>nie</v>
      </c>
    </row>
    <row r="28" spans="1:11" x14ac:dyDescent="0.25">
      <c r="A28" s="2">
        <v>2011</v>
      </c>
      <c r="B28" s="2">
        <v>3</v>
      </c>
      <c r="C28" s="1">
        <v>-0.01</v>
      </c>
      <c r="D28">
        <f t="shared" si="0"/>
        <v>321</v>
      </c>
      <c r="E28" s="1">
        <v>-1.2E-2</v>
      </c>
      <c r="F28">
        <f t="shared" si="1"/>
        <v>304</v>
      </c>
      <c r="G28" s="1">
        <v>-1.9E-2</v>
      </c>
      <c r="H28">
        <f t="shared" si="2"/>
        <v>329</v>
      </c>
      <c r="I28" s="1">
        <v>-2.5000000000000001E-2</v>
      </c>
      <c r="J28">
        <f t="shared" si="3"/>
        <v>409</v>
      </c>
      <c r="K28" t="str">
        <f t="shared" si="4"/>
        <v>nie</v>
      </c>
    </row>
    <row r="29" spans="1:11" x14ac:dyDescent="0.25">
      <c r="A29" s="3">
        <v>2011</v>
      </c>
      <c r="B29" s="3">
        <v>4</v>
      </c>
      <c r="C29" s="1">
        <v>-0.01</v>
      </c>
      <c r="D29">
        <f t="shared" si="0"/>
        <v>317</v>
      </c>
      <c r="E29" s="1">
        <v>-1.2E-2</v>
      </c>
      <c r="F29">
        <f t="shared" si="1"/>
        <v>300</v>
      </c>
      <c r="G29" s="1">
        <v>-1.9E-2</v>
      </c>
      <c r="H29">
        <f t="shared" si="2"/>
        <v>322</v>
      </c>
      <c r="I29" s="1">
        <v>-2.5000000000000001E-2</v>
      </c>
      <c r="J29">
        <f t="shared" si="3"/>
        <v>398</v>
      </c>
      <c r="K29" t="str">
        <f t="shared" si="4"/>
        <v>nie</v>
      </c>
    </row>
    <row r="30" spans="1:11" x14ac:dyDescent="0.25">
      <c r="A30" s="2">
        <v>2012</v>
      </c>
      <c r="B30" s="2">
        <v>1</v>
      </c>
      <c r="C30" s="1">
        <v>-0.01</v>
      </c>
      <c r="D30">
        <f t="shared" si="0"/>
        <v>313</v>
      </c>
      <c r="E30" s="1">
        <v>-1.2E-2</v>
      </c>
      <c r="F30">
        <f t="shared" si="1"/>
        <v>296</v>
      </c>
      <c r="G30" s="1">
        <v>-1.9E-2</v>
      </c>
      <c r="H30">
        <f t="shared" si="2"/>
        <v>315</v>
      </c>
      <c r="I30" s="1">
        <v>-2.5000000000000001E-2</v>
      </c>
      <c r="J30">
        <f t="shared" si="3"/>
        <v>388</v>
      </c>
      <c r="K30" t="str">
        <f t="shared" si="4"/>
        <v>nie</v>
      </c>
    </row>
    <row r="31" spans="1:11" x14ac:dyDescent="0.25">
      <c r="A31" s="3">
        <v>2012</v>
      </c>
      <c r="B31" s="3">
        <v>2</v>
      </c>
      <c r="C31" s="1">
        <v>-0.01</v>
      </c>
      <c r="D31">
        <f t="shared" si="0"/>
        <v>309</v>
      </c>
      <c r="E31" s="1">
        <v>-1.2E-2</v>
      </c>
      <c r="F31">
        <f t="shared" si="1"/>
        <v>292</v>
      </c>
      <c r="G31" s="1">
        <v>-1.9E-2</v>
      </c>
      <c r="H31">
        <f t="shared" si="2"/>
        <v>309</v>
      </c>
      <c r="I31" s="1">
        <v>-2.5000000000000001E-2</v>
      </c>
      <c r="J31">
        <f t="shared" si="3"/>
        <v>378</v>
      </c>
      <c r="K31" t="str">
        <f t="shared" si="4"/>
        <v>nie</v>
      </c>
    </row>
    <row r="32" spans="1:11" x14ac:dyDescent="0.25">
      <c r="A32" s="2">
        <v>2012</v>
      </c>
      <c r="B32" s="2">
        <v>3</v>
      </c>
      <c r="C32" s="1">
        <v>-0.01</v>
      </c>
      <c r="D32">
        <f t="shared" si="0"/>
        <v>305</v>
      </c>
      <c r="E32" s="1">
        <v>-1.2E-2</v>
      </c>
      <c r="F32">
        <f t="shared" si="1"/>
        <v>288</v>
      </c>
      <c r="G32" s="1">
        <v>-1.9E-2</v>
      </c>
      <c r="H32">
        <f t="shared" si="2"/>
        <v>303</v>
      </c>
      <c r="I32" s="1">
        <v>-2.5000000000000001E-2</v>
      </c>
      <c r="J32">
        <f t="shared" si="3"/>
        <v>368</v>
      </c>
      <c r="K32" t="str">
        <f t="shared" si="4"/>
        <v>nie</v>
      </c>
    </row>
    <row r="33" spans="1:11" x14ac:dyDescent="0.25">
      <c r="A33" s="3">
        <v>2012</v>
      </c>
      <c r="B33" s="3">
        <v>4</v>
      </c>
      <c r="C33" s="1">
        <v>-0.01</v>
      </c>
      <c r="D33">
        <f t="shared" si="0"/>
        <v>301</v>
      </c>
      <c r="E33" s="1">
        <v>-1.2E-2</v>
      </c>
      <c r="F33">
        <f t="shared" si="1"/>
        <v>284</v>
      </c>
      <c r="G33" s="1">
        <v>-1.9E-2</v>
      </c>
      <c r="H33">
        <f t="shared" si="2"/>
        <v>297</v>
      </c>
      <c r="I33" s="1">
        <v>-2.5000000000000001E-2</v>
      </c>
      <c r="J33">
        <f t="shared" si="3"/>
        <v>358</v>
      </c>
      <c r="K33" t="str">
        <f t="shared" si="4"/>
        <v>nie</v>
      </c>
    </row>
    <row r="34" spans="1:11" x14ac:dyDescent="0.25">
      <c r="A34" s="2">
        <v>2013</v>
      </c>
      <c r="B34" s="2">
        <v>1</v>
      </c>
      <c r="C34" s="1">
        <v>-0.01</v>
      </c>
      <c r="D34">
        <f t="shared" si="0"/>
        <v>297</v>
      </c>
      <c r="E34" s="1">
        <v>-1.2E-2</v>
      </c>
      <c r="F34">
        <f t="shared" si="1"/>
        <v>280</v>
      </c>
      <c r="G34" s="1">
        <v>-1.9E-2</v>
      </c>
      <c r="H34">
        <f t="shared" si="2"/>
        <v>291</v>
      </c>
      <c r="I34" s="1">
        <v>-2.5000000000000001E-2</v>
      </c>
      <c r="J34">
        <f t="shared" si="3"/>
        <v>349</v>
      </c>
      <c r="K34" t="str">
        <f t="shared" si="4"/>
        <v>nie</v>
      </c>
    </row>
    <row r="35" spans="1:11" x14ac:dyDescent="0.25">
      <c r="A35" s="2">
        <v>2013</v>
      </c>
      <c r="B35" s="3">
        <v>2</v>
      </c>
      <c r="C35" s="1">
        <v>-0.01</v>
      </c>
      <c r="D35">
        <f t="shared" si="0"/>
        <v>294</v>
      </c>
      <c r="E35" s="1">
        <v>-1.2E-2</v>
      </c>
      <c r="F35">
        <f t="shared" si="1"/>
        <v>276</v>
      </c>
      <c r="G35" s="1">
        <v>-1.9E-2</v>
      </c>
      <c r="H35">
        <f t="shared" si="2"/>
        <v>285</v>
      </c>
      <c r="I35" s="1">
        <v>-2.5000000000000001E-2</v>
      </c>
      <c r="J35">
        <f t="shared" si="3"/>
        <v>340</v>
      </c>
      <c r="K35" t="str">
        <f t="shared" si="4"/>
        <v>nie</v>
      </c>
    </row>
    <row r="36" spans="1:11" x14ac:dyDescent="0.25">
      <c r="A36" s="2">
        <v>2013</v>
      </c>
      <c r="B36" s="2">
        <v>3</v>
      </c>
      <c r="C36" s="1">
        <v>-0.01</v>
      </c>
      <c r="D36">
        <f t="shared" si="0"/>
        <v>291</v>
      </c>
      <c r="E36" s="1">
        <v>-1.2E-2</v>
      </c>
      <c r="F36">
        <f t="shared" si="1"/>
        <v>272</v>
      </c>
      <c r="G36" s="1">
        <v>-1.9E-2</v>
      </c>
      <c r="H36">
        <f t="shared" si="2"/>
        <v>279</v>
      </c>
      <c r="I36" s="1">
        <v>-2.5000000000000001E-2</v>
      </c>
      <c r="J36">
        <f t="shared" si="3"/>
        <v>331</v>
      </c>
      <c r="K36" t="str">
        <f t="shared" si="4"/>
        <v>nie</v>
      </c>
    </row>
    <row r="37" spans="1:11" x14ac:dyDescent="0.25">
      <c r="A37" s="2">
        <v>2013</v>
      </c>
      <c r="B37" s="3">
        <v>4</v>
      </c>
      <c r="C37" s="1">
        <v>-0.01</v>
      </c>
      <c r="D37">
        <f t="shared" si="0"/>
        <v>288</v>
      </c>
      <c r="E37" s="1">
        <v>-1.2E-2</v>
      </c>
      <c r="F37">
        <f t="shared" si="1"/>
        <v>268</v>
      </c>
      <c r="G37" s="1">
        <v>-1.9E-2</v>
      </c>
      <c r="H37">
        <f t="shared" si="2"/>
        <v>273</v>
      </c>
      <c r="I37" s="1">
        <v>-2.5000000000000001E-2</v>
      </c>
      <c r="J37">
        <f t="shared" si="3"/>
        <v>322</v>
      </c>
      <c r="K37" t="str">
        <f t="shared" si="4"/>
        <v>nie</v>
      </c>
    </row>
    <row r="38" spans="1:11" x14ac:dyDescent="0.25">
      <c r="A38" s="2">
        <v>2014</v>
      </c>
      <c r="B38" s="2">
        <v>1</v>
      </c>
      <c r="C38" s="1">
        <v>-0.01</v>
      </c>
      <c r="D38">
        <f t="shared" si="0"/>
        <v>285</v>
      </c>
      <c r="E38" s="1">
        <v>-1.2E-2</v>
      </c>
      <c r="F38">
        <f t="shared" si="1"/>
        <v>264</v>
      </c>
      <c r="G38" s="1">
        <v>-1.9E-2</v>
      </c>
      <c r="H38">
        <f t="shared" si="2"/>
        <v>267</v>
      </c>
      <c r="I38" s="1">
        <v>-2.5000000000000001E-2</v>
      </c>
      <c r="J38">
        <f t="shared" si="3"/>
        <v>313</v>
      </c>
      <c r="K38" t="str">
        <f t="shared" si="4"/>
        <v>nie</v>
      </c>
    </row>
    <row r="39" spans="1:11" x14ac:dyDescent="0.25">
      <c r="A39" s="2">
        <v>2014</v>
      </c>
      <c r="B39" s="3">
        <v>2</v>
      </c>
      <c r="C39" s="1">
        <v>-0.01</v>
      </c>
      <c r="D39">
        <f t="shared" si="0"/>
        <v>282</v>
      </c>
      <c r="E39" s="1">
        <v>-1.2E-2</v>
      </c>
      <c r="F39">
        <f t="shared" si="1"/>
        <v>260</v>
      </c>
      <c r="G39" s="1">
        <v>-1.9E-2</v>
      </c>
      <c r="H39">
        <f t="shared" si="2"/>
        <v>261</v>
      </c>
      <c r="I39" s="1">
        <v>-2.5000000000000001E-2</v>
      </c>
      <c r="J39">
        <f t="shared" si="3"/>
        <v>305</v>
      </c>
      <c r="K39" t="str">
        <f t="shared" si="4"/>
        <v>tak</v>
      </c>
    </row>
    <row r="40" spans="1:11" x14ac:dyDescent="0.25">
      <c r="A40" s="2">
        <v>2014</v>
      </c>
      <c r="B40" s="2">
        <v>3</v>
      </c>
      <c r="C40" s="1">
        <v>-0.01</v>
      </c>
      <c r="D40">
        <f t="shared" si="0"/>
        <v>279</v>
      </c>
      <c r="E40" s="1">
        <v>-1.2E-2</v>
      </c>
      <c r="F40">
        <f t="shared" si="1"/>
        <v>256</v>
      </c>
      <c r="G40" s="1">
        <v>-1.9E-2</v>
      </c>
      <c r="H40">
        <f t="shared" si="2"/>
        <v>256</v>
      </c>
      <c r="I40" s="1">
        <v>-2.5000000000000001E-2</v>
      </c>
      <c r="J40">
        <f t="shared" si="3"/>
        <v>297</v>
      </c>
      <c r="K40" t="str">
        <f t="shared" si="4"/>
        <v>tak</v>
      </c>
    </row>
    <row r="41" spans="1:11" x14ac:dyDescent="0.25">
      <c r="A41" s="2">
        <v>2014</v>
      </c>
      <c r="B41" s="3">
        <v>4</v>
      </c>
      <c r="C41" s="1">
        <v>-0.01</v>
      </c>
      <c r="D41">
        <f t="shared" si="0"/>
        <v>276</v>
      </c>
      <c r="E41" s="1">
        <v>-1.2E-2</v>
      </c>
      <c r="F41">
        <f t="shared" si="1"/>
        <v>252</v>
      </c>
      <c r="G41" s="1">
        <v>-1.9E-2</v>
      </c>
      <c r="H41">
        <f t="shared" si="2"/>
        <v>251</v>
      </c>
      <c r="I41" s="1">
        <v>-2.5000000000000001E-2</v>
      </c>
      <c r="J41">
        <f t="shared" si="3"/>
        <v>289</v>
      </c>
      <c r="K41" t="str">
        <f t="shared" si="4"/>
        <v>tak</v>
      </c>
    </row>
    <row r="42" spans="1:11" x14ac:dyDescent="0.25">
      <c r="A42" s="2">
        <v>2015</v>
      </c>
      <c r="B42" s="2">
        <v>1</v>
      </c>
      <c r="C42" s="1">
        <v>-0.01</v>
      </c>
      <c r="D42">
        <f t="shared" si="0"/>
        <v>273</v>
      </c>
      <c r="E42" s="1">
        <v>-1.2E-2</v>
      </c>
      <c r="F42">
        <f t="shared" si="1"/>
        <v>248</v>
      </c>
      <c r="G42" s="1">
        <v>-1.9E-2</v>
      </c>
      <c r="H42">
        <f t="shared" si="2"/>
        <v>246</v>
      </c>
      <c r="I42" s="1">
        <v>-2.5000000000000001E-2</v>
      </c>
      <c r="J42">
        <f t="shared" si="3"/>
        <v>281</v>
      </c>
      <c r="K42" t="str">
        <f t="shared" si="4"/>
        <v>tak</v>
      </c>
    </row>
    <row r="43" spans="1:11" x14ac:dyDescent="0.25">
      <c r="A43" s="2">
        <v>2015</v>
      </c>
      <c r="B43" s="3">
        <v>2</v>
      </c>
      <c r="C43" s="1">
        <v>-0.01</v>
      </c>
      <c r="D43">
        <f t="shared" si="0"/>
        <v>270</v>
      </c>
      <c r="E43" s="1">
        <v>-1.2E-2</v>
      </c>
      <c r="F43">
        <f t="shared" si="1"/>
        <v>245</v>
      </c>
      <c r="G43" s="1">
        <v>-1.9E-2</v>
      </c>
      <c r="H43">
        <f t="shared" si="2"/>
        <v>241</v>
      </c>
      <c r="I43" s="1">
        <v>-2.5000000000000001E-2</v>
      </c>
      <c r="J43">
        <f t="shared" si="3"/>
        <v>273</v>
      </c>
      <c r="K43" t="str">
        <f t="shared" si="4"/>
        <v>tak</v>
      </c>
    </row>
    <row r="44" spans="1:11" x14ac:dyDescent="0.25">
      <c r="A44" s="2">
        <v>2015</v>
      </c>
      <c r="B44" s="2">
        <v>3</v>
      </c>
      <c r="C44" s="1">
        <v>-0.01</v>
      </c>
      <c r="D44">
        <f t="shared" si="0"/>
        <v>267</v>
      </c>
      <c r="E44" s="1">
        <v>-1.2E-2</v>
      </c>
      <c r="F44">
        <f t="shared" si="1"/>
        <v>242</v>
      </c>
      <c r="G44" s="1">
        <v>-1.9E-2</v>
      </c>
      <c r="H44">
        <f t="shared" si="2"/>
        <v>236</v>
      </c>
      <c r="I44" s="1">
        <v>-2.5000000000000001E-2</v>
      </c>
      <c r="J44">
        <f t="shared" si="3"/>
        <v>266</v>
      </c>
      <c r="K44" t="str">
        <f t="shared" si="4"/>
        <v>tak</v>
      </c>
    </row>
    <row r="45" spans="1:11" x14ac:dyDescent="0.25">
      <c r="A45" s="2">
        <v>2015</v>
      </c>
      <c r="B45" s="3">
        <v>4</v>
      </c>
      <c r="C45" s="1">
        <v>-0.01</v>
      </c>
      <c r="D45">
        <f t="shared" si="0"/>
        <v>264</v>
      </c>
      <c r="E45" s="1">
        <v>-1.2E-2</v>
      </c>
      <c r="F45">
        <f t="shared" si="1"/>
        <v>239</v>
      </c>
      <c r="G45" s="1">
        <v>-1.9E-2</v>
      </c>
      <c r="H45">
        <f t="shared" si="2"/>
        <v>231</v>
      </c>
      <c r="I45" s="1">
        <v>-2.5000000000000001E-2</v>
      </c>
      <c r="J45">
        <f t="shared" si="3"/>
        <v>259</v>
      </c>
      <c r="K45" t="str">
        <f t="shared" si="4"/>
        <v>tak</v>
      </c>
    </row>
    <row r="46" spans="1:11" x14ac:dyDescent="0.25">
      <c r="A46" s="2">
        <v>2016</v>
      </c>
      <c r="B46" s="2">
        <v>1</v>
      </c>
      <c r="C46" s="1">
        <v>-0.01</v>
      </c>
      <c r="D46">
        <f t="shared" si="0"/>
        <v>261</v>
      </c>
      <c r="E46" s="1">
        <v>-1.2E-2</v>
      </c>
      <c r="F46">
        <f t="shared" si="1"/>
        <v>236</v>
      </c>
      <c r="G46" s="1">
        <v>-1.9E-2</v>
      </c>
      <c r="H46">
        <f t="shared" si="2"/>
        <v>226</v>
      </c>
      <c r="I46" s="1">
        <v>-2.5000000000000001E-2</v>
      </c>
      <c r="J46">
        <f t="shared" si="3"/>
        <v>252</v>
      </c>
      <c r="K46" t="str">
        <f t="shared" si="4"/>
        <v>tak</v>
      </c>
    </row>
    <row r="47" spans="1:11" x14ac:dyDescent="0.25">
      <c r="A47" s="2">
        <v>2016</v>
      </c>
      <c r="B47" s="3">
        <v>2</v>
      </c>
      <c r="C47" s="1">
        <v>-0.01</v>
      </c>
      <c r="D47">
        <f t="shared" si="0"/>
        <v>258</v>
      </c>
      <c r="E47" s="1">
        <v>-1.2E-2</v>
      </c>
      <c r="F47">
        <f t="shared" si="1"/>
        <v>233</v>
      </c>
      <c r="G47" s="1">
        <v>-1.9E-2</v>
      </c>
      <c r="H47">
        <f t="shared" si="2"/>
        <v>221</v>
      </c>
      <c r="I47" s="1">
        <v>-2.5000000000000001E-2</v>
      </c>
      <c r="J47">
        <f t="shared" si="3"/>
        <v>245</v>
      </c>
      <c r="K47" t="str">
        <f t="shared" si="4"/>
        <v>tak</v>
      </c>
    </row>
    <row r="48" spans="1:11" x14ac:dyDescent="0.25">
      <c r="A48" s="2">
        <v>2016</v>
      </c>
      <c r="B48" s="2">
        <v>3</v>
      </c>
      <c r="C48" s="1">
        <v>-0.01</v>
      </c>
      <c r="D48">
        <f t="shared" si="0"/>
        <v>255</v>
      </c>
      <c r="E48" s="1">
        <v>-1.2E-2</v>
      </c>
      <c r="F48">
        <f t="shared" si="1"/>
        <v>230</v>
      </c>
      <c r="G48" s="1">
        <v>-1.9E-2</v>
      </c>
      <c r="H48">
        <f t="shared" si="2"/>
        <v>216</v>
      </c>
      <c r="I48" s="1">
        <v>-2.5000000000000001E-2</v>
      </c>
      <c r="J48">
        <f t="shared" si="3"/>
        <v>238</v>
      </c>
      <c r="K48" t="str">
        <f t="shared" si="4"/>
        <v>tak</v>
      </c>
    </row>
    <row r="49" spans="1:11" x14ac:dyDescent="0.25">
      <c r="A49" s="2">
        <v>2016</v>
      </c>
      <c r="B49" s="3">
        <v>4</v>
      </c>
      <c r="C49" s="1">
        <v>-0.01</v>
      </c>
      <c r="D49">
        <f t="shared" si="0"/>
        <v>252</v>
      </c>
      <c r="E49" s="1">
        <v>-1.2E-2</v>
      </c>
      <c r="F49">
        <f t="shared" si="1"/>
        <v>227</v>
      </c>
      <c r="G49" s="1">
        <v>-1.9E-2</v>
      </c>
      <c r="H49">
        <f t="shared" si="2"/>
        <v>211</v>
      </c>
      <c r="I49" s="1">
        <v>-2.5000000000000001E-2</v>
      </c>
      <c r="J49">
        <f t="shared" si="3"/>
        <v>232</v>
      </c>
      <c r="K49" t="str">
        <f t="shared" si="4"/>
        <v>tak</v>
      </c>
    </row>
    <row r="50" spans="1:11" x14ac:dyDescent="0.25">
      <c r="A50" s="2">
        <v>2017</v>
      </c>
      <c r="B50" s="2">
        <v>1</v>
      </c>
      <c r="C50" s="1">
        <v>-0.01</v>
      </c>
      <c r="D50">
        <f t="shared" si="0"/>
        <v>249</v>
      </c>
      <c r="E50" s="1">
        <v>-1.2E-2</v>
      </c>
      <c r="F50">
        <f t="shared" si="1"/>
        <v>224</v>
      </c>
      <c r="G50" s="1">
        <v>-1.9E-2</v>
      </c>
      <c r="H50">
        <f t="shared" si="2"/>
        <v>206</v>
      </c>
      <c r="I50" s="1">
        <v>-2.5000000000000001E-2</v>
      </c>
      <c r="J50">
        <f t="shared" si="3"/>
        <v>226</v>
      </c>
      <c r="K50" t="str">
        <f t="shared" si="4"/>
        <v>tak</v>
      </c>
    </row>
    <row r="51" spans="1:11" x14ac:dyDescent="0.25">
      <c r="A51" s="2">
        <v>2017</v>
      </c>
      <c r="B51" s="3">
        <v>2</v>
      </c>
      <c r="C51" s="1">
        <v>-0.01</v>
      </c>
      <c r="D51">
        <f t="shared" si="0"/>
        <v>246</v>
      </c>
      <c r="E51" s="1">
        <v>-1.2E-2</v>
      </c>
      <c r="F51">
        <f t="shared" si="1"/>
        <v>221</v>
      </c>
      <c r="G51" s="1">
        <v>-1.9E-2</v>
      </c>
      <c r="H51">
        <f t="shared" si="2"/>
        <v>202</v>
      </c>
      <c r="I51" s="1">
        <v>-2.5000000000000001E-2</v>
      </c>
      <c r="J51">
        <f t="shared" si="3"/>
        <v>220</v>
      </c>
      <c r="K51" t="str">
        <f t="shared" si="4"/>
        <v>tak</v>
      </c>
    </row>
    <row r="52" spans="1:11" x14ac:dyDescent="0.25">
      <c r="A52" s="2">
        <v>2017</v>
      </c>
      <c r="B52" s="2">
        <v>3</v>
      </c>
      <c r="C52" s="1">
        <v>-0.01</v>
      </c>
      <c r="D52">
        <f t="shared" si="0"/>
        <v>243</v>
      </c>
      <c r="E52" s="1">
        <v>-1.2E-2</v>
      </c>
      <c r="F52">
        <f t="shared" si="1"/>
        <v>218</v>
      </c>
      <c r="G52" s="1">
        <v>-1.9E-2</v>
      </c>
      <c r="H52">
        <f t="shared" si="2"/>
        <v>198</v>
      </c>
      <c r="I52" s="1">
        <v>-2.5000000000000001E-2</v>
      </c>
      <c r="J52">
        <f t="shared" si="3"/>
        <v>214</v>
      </c>
      <c r="K52" t="str">
        <f t="shared" si="4"/>
        <v>tak</v>
      </c>
    </row>
    <row r="53" spans="1:11" x14ac:dyDescent="0.25">
      <c r="A53" s="2">
        <v>2017</v>
      </c>
      <c r="B53" s="3">
        <v>4</v>
      </c>
      <c r="C53" s="1">
        <v>-0.01</v>
      </c>
      <c r="D53">
        <f t="shared" si="0"/>
        <v>240</v>
      </c>
      <c r="E53" s="1">
        <v>-1.2E-2</v>
      </c>
      <c r="F53">
        <f t="shared" si="1"/>
        <v>215</v>
      </c>
      <c r="G53" s="1">
        <v>-1.9E-2</v>
      </c>
      <c r="H53">
        <f t="shared" si="2"/>
        <v>194</v>
      </c>
      <c r="I53" s="1">
        <v>-2.5000000000000001E-2</v>
      </c>
      <c r="J53">
        <f t="shared" si="3"/>
        <v>208</v>
      </c>
      <c r="K53" t="str">
        <f t="shared" si="4"/>
        <v>tak</v>
      </c>
    </row>
    <row r="56" spans="1:11" x14ac:dyDescent="0.25">
      <c r="A56" s="4" t="s">
        <v>12</v>
      </c>
      <c r="B56" s="4"/>
      <c r="C56" s="4"/>
      <c r="D56">
        <f>COUNTIF(D2:D33,"&gt;300")</f>
        <v>18</v>
      </c>
      <c r="E56"/>
      <c r="F56">
        <f t="shared" ref="E56:J56" si="5">COUNTIF(F2:F33,"&gt;300")</f>
        <v>9</v>
      </c>
      <c r="G56"/>
      <c r="H56">
        <f t="shared" si="5"/>
        <v>17</v>
      </c>
      <c r="I56"/>
      <c r="J56">
        <f t="shared" si="5"/>
        <v>32</v>
      </c>
    </row>
    <row r="57" spans="1:11" x14ac:dyDescent="0.25">
      <c r="A57" s="4" t="s">
        <v>13</v>
      </c>
      <c r="B57" s="4"/>
      <c r="C57" s="4"/>
      <c r="D57">
        <f>SUM(D2:D25)</f>
        <v>6967</v>
      </c>
      <c r="E57"/>
      <c r="F57">
        <f t="shared" ref="E57:J57" si="6">SUM(F2:F25)</f>
        <v>6310</v>
      </c>
      <c r="G57"/>
      <c r="H57">
        <f t="shared" si="6"/>
        <v>6846</v>
      </c>
      <c r="I57"/>
      <c r="J57">
        <f t="shared" si="6"/>
        <v>9245</v>
      </c>
      <c r="K57">
        <f>SUM(D57:J57)</f>
        <v>29368</v>
      </c>
    </row>
  </sheetData>
  <mergeCells count="2">
    <mergeCell ref="A56:C56"/>
    <mergeCell ref="A57:C5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Arkusz3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</dc:creator>
  <cp:lastModifiedBy>patryk</cp:lastModifiedBy>
  <dcterms:created xsi:type="dcterms:W3CDTF">2015-06-05T18:19:34Z</dcterms:created>
  <dcterms:modified xsi:type="dcterms:W3CDTF">2025-09-08T14:20:52Z</dcterms:modified>
</cp:coreProperties>
</file>