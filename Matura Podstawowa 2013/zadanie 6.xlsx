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tryk\Desktop\Nauka Informatyka Excel\Matura Podstawowa 2013\"/>
    </mc:Choice>
  </mc:AlternateContent>
  <xr:revisionPtr revIDLastSave="0" documentId="13_ncr:1_{400EDC6E-A095-47B1-B3BC-6CF688A433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5" i="1" l="1"/>
  <c r="D255" i="1"/>
  <c r="E255" i="1"/>
  <c r="F255" i="1"/>
  <c r="G255" i="1"/>
  <c r="H255" i="1"/>
  <c r="I255" i="1"/>
  <c r="J255" i="1"/>
  <c r="K255" i="1"/>
  <c r="L255" i="1"/>
  <c r="M255" i="1"/>
  <c r="B255" i="1"/>
  <c r="C254" i="1"/>
  <c r="D254" i="1"/>
  <c r="E254" i="1"/>
  <c r="F254" i="1"/>
  <c r="G254" i="1"/>
  <c r="H254" i="1"/>
  <c r="I254" i="1"/>
  <c r="J254" i="1"/>
  <c r="K254" i="1"/>
  <c r="L254" i="1"/>
  <c r="M254" i="1"/>
  <c r="B254" i="1"/>
  <c r="B262" i="1"/>
  <c r="C262" i="1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C253" i="1"/>
  <c r="D253" i="1"/>
  <c r="E253" i="1"/>
  <c r="F253" i="1"/>
  <c r="G253" i="1"/>
  <c r="H253" i="1"/>
  <c r="I253" i="1"/>
  <c r="J253" i="1"/>
  <c r="K253" i="1"/>
  <c r="L253" i="1"/>
  <c r="M253" i="1"/>
  <c r="B253" i="1"/>
  <c r="N253" i="1" l="1"/>
</calcChain>
</file>

<file path=xl/sharedStrings.xml><?xml version="1.0" encoding="utf-8"?>
<sst xmlns="http://schemas.openxmlformats.org/spreadsheetml/2006/main" count="33" uniqueCount="21">
  <si>
    <t>Data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</si>
  <si>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</si>
  <si>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</si>
  <si>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</si>
  <si>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</si>
  <si>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</si>
  <si>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</si>
  <si>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</si>
  <si>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</si>
  <si>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</si>
  <si>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</si>
  <si>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</si>
  <si>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</si>
  <si>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Średnia Roczna</t>
  </si>
  <si>
    <t>Czy ceny Wsztstkich jednostek były wyższe niż 33zł?</t>
  </si>
  <si>
    <t>Naczęstsza Cena:</t>
  </si>
  <si>
    <t>Najniższa Cena</t>
  </si>
  <si>
    <t>Najwyższa Cena</t>
  </si>
  <si>
    <t>Fundusz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</si>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</sst>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3"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Wartośći Maksymalne i Minimalne cen funduszy</a:t>
            </a:r>
          </a:p>
        </c:rich>
      </c:tx>
      <c:layout>
        <c:manualLayout>
          <c:xMode val="edge"/>
          <c:yMode val="edge"/>
          <c:x val="0.13841051025259019"/>
          <c:y val="4.7729001590370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Arkusz1!$R$1</c:f>
              <c:strCache>
                <c:ptCount val="1"/>
                <c:pt idx="0">
                  <c:v>Min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Arkusz1!$Q$2:$Q$13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Arkusz1!$R$2:$R$13</c:f>
              <c:numCache>
                <c:formatCode>General</c:formatCode>
                <c:ptCount val="12"/>
                <c:pt idx="0">
                  <c:v>20.82</c:v>
                </c:pt>
                <c:pt idx="1">
                  <c:v>21.21</c:v>
                </c:pt>
                <c:pt idx="2">
                  <c:v>21.92</c:v>
                </c:pt>
                <c:pt idx="3">
                  <c:v>18.760000000000002</c:v>
                </c:pt>
                <c:pt idx="4">
                  <c:v>18.940000000000001</c:v>
                </c:pt>
                <c:pt idx="5">
                  <c:v>19.12</c:v>
                </c:pt>
                <c:pt idx="6">
                  <c:v>16.04</c:v>
                </c:pt>
                <c:pt idx="7">
                  <c:v>16.079999999999998</c:v>
                </c:pt>
                <c:pt idx="8">
                  <c:v>16.12</c:v>
                </c:pt>
                <c:pt idx="9">
                  <c:v>20.329999999999998</c:v>
                </c:pt>
                <c:pt idx="10">
                  <c:v>20.41</c:v>
                </c:pt>
                <c:pt idx="1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7-4641-97F4-3EA9D8B5AC88}"/>
            </c:ext>
          </c:extLst>
        </c:ser>
        <c:ser>
          <c:idx val="1"/>
          <c:order val="1"/>
          <c:tx>
            <c:strRef>
              <c:f>Arkusz1!$S$1</c:f>
              <c:strCache>
                <c:ptCount val="1"/>
                <c:pt idx="0">
                  <c:v>Max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Arkusz1!$Q$2:$Q$13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Arkusz1!$S$2:$S$13</c:f>
              <c:numCache>
                <c:formatCode>General</c:formatCode>
                <c:ptCount val="12"/>
                <c:pt idx="0">
                  <c:v>50.9</c:v>
                </c:pt>
                <c:pt idx="1">
                  <c:v>51.62</c:v>
                </c:pt>
                <c:pt idx="2">
                  <c:v>53.12</c:v>
                </c:pt>
                <c:pt idx="3">
                  <c:v>58.66</c:v>
                </c:pt>
                <c:pt idx="4">
                  <c:v>58.96</c:v>
                </c:pt>
                <c:pt idx="5">
                  <c:v>59.26</c:v>
                </c:pt>
                <c:pt idx="6">
                  <c:v>48.15</c:v>
                </c:pt>
                <c:pt idx="7">
                  <c:v>48.17</c:v>
                </c:pt>
                <c:pt idx="8">
                  <c:v>48.19</c:v>
                </c:pt>
                <c:pt idx="9">
                  <c:v>50.23</c:v>
                </c:pt>
                <c:pt idx="10">
                  <c:v>50.23</c:v>
                </c:pt>
                <c:pt idx="11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7-4641-97F4-3EA9D8B5AC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4865839"/>
        <c:axId val="464864399"/>
      </c:lineChart>
      <c:catAx>
        <c:axId val="46486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Fundusz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4864399"/>
        <c:crosses val="autoZero"/>
        <c:auto val="1"/>
        <c:lblAlgn val="ctr"/>
        <c:lblOffset val="100"/>
        <c:noMultiLvlLbl val="0"/>
      </c:catAx>
      <c:valAx>
        <c:axId val="4648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 (zł)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486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567836</xdr:colOff>
      <xdr:row>0</xdr:row>
      <xdr:rowOff>123092</xdr:rowOff>
    </xdr:from>
    <xdr:to>
      <xdr:col>29</xdr:col>
      <xdr:colOff>14654</xdr:colOff>
      <xdr:row>21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9F24DFD-33E6-A30E-67C3-4B457BD78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06DA6-AF01-43EB-A6B9-4F35C8BD7264}" name="Tabela1" displayName="Tabela1" ref="A1:N253" totalsRowCount="1">
  <autoFilter ref="A1:N252" xr:uid="{E5D06DA6-AF01-43EB-A6B9-4F35C8BD7264}"/>
  <tableColumns count="14">
    <tableColumn id="1" xr3:uid="{42D55FA1-781E-4EF4-818D-5CD3BB5DC397}" name="Data" totalsRowLabel="Średnia Roczna" dataDxfId="2" totalsRowDxfId="0"/>
    <tableColumn id="2" xr3:uid="{1891A3BF-A45C-4ED1-9602-B16BDD365C48}" name="A" totalsRowFunction="custom">
      <totalsRowFormula>ROUND(AVERAGE(B2:B252),2)</totalsRowFormula>
    </tableColumn>
    <tableColumn id="3" xr3:uid="{62877CA9-443C-4DF2-84B5-922D052D58A9}" name="B" totalsRowFunction="custom">
      <totalsRowFormula>ROUND(AVERAGE(C2:C252),2)</totalsRowFormula>
    </tableColumn>
    <tableColumn id="4" xr3:uid="{E4E54834-A960-4CD5-B55E-A3E90274DF84}" name="C" totalsRowFunction="custom">
      <totalsRowFormula>ROUND(AVERAGE(D2:D252),2)</totalsRowFormula>
    </tableColumn>
    <tableColumn id="5" xr3:uid="{F669EDDB-5584-4A76-B987-24D403A965F0}" name="D" totalsRowFunction="custom">
      <totalsRowFormula>ROUND(AVERAGE(E2:E252),2)</totalsRowFormula>
    </tableColumn>
    <tableColumn id="6" xr3:uid="{B741D19E-C8DC-46DF-8D75-2A1B6EF79B88}" name="E" totalsRowFunction="custom">
      <totalsRowFormula>ROUND(AVERAGE(F2:F252),2)</totalsRowFormula>
    </tableColumn>
    <tableColumn id="7" xr3:uid="{7F827A5C-7DD4-43AC-8534-2E1A9E623F8F}" name="F" totalsRowFunction="custom">
      <totalsRowFormula>ROUND(AVERAGE(G2:G252),2)</totalsRowFormula>
    </tableColumn>
    <tableColumn id="8" xr3:uid="{4318DDE9-8429-4BF3-8C3B-CD441C1277C2}" name="G" totalsRowFunction="custom">
      <totalsRowFormula>ROUND(AVERAGE(H2:H252),2)</totalsRowFormula>
    </tableColumn>
    <tableColumn id="9" xr3:uid="{FCC17977-7BCF-4197-AC7D-06CC01511E11}" name="H" totalsRowFunction="custom">
      <totalsRowFormula>ROUND(AVERAGE(I2:I252),2)</totalsRowFormula>
    </tableColumn>
    <tableColumn id="10" xr3:uid="{41AE9508-817A-4FED-BED4-26C86C20FC1B}" name="I" totalsRowFunction="custom">
      <totalsRowFormula>ROUND(AVERAGE(J2:J252),2)</totalsRowFormula>
    </tableColumn>
    <tableColumn id="11" xr3:uid="{542A9CCF-4908-417A-A13B-6221455F13B5}" name="J" totalsRowFunction="custom">
      <totalsRowFormula>ROUND(AVERAGE(K2:K252),2)</totalsRowFormula>
    </tableColumn>
    <tableColumn id="12" xr3:uid="{BB2E8C9B-767A-454D-8C70-D31C207E9E00}" name="K" totalsRowFunction="custom">
      <totalsRowFormula>ROUND(AVERAGE(L2:L252),2)</totalsRowFormula>
    </tableColumn>
    <tableColumn id="13" xr3:uid="{0F903C2C-BBE6-46C5-96DF-5F1D8D6C62B7}" name="L" totalsRowFunction="custom">
      <totalsRowFormula>ROUND(AVERAGE(M2:M252),2)</totalsRowFormula>
    </tableColumn>
    <tableColumn id="14" xr3:uid="{B1488689-FA99-4C76-A3AF-F0822D048037}" name="Czy ceny Wsztstkich jednostek były wyższe niż 33zł?" totalsRowFunction="custom" dataDxfId="1">
      <calculatedColumnFormula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calculatedColumnFormula>
      <totalsRowFormula>COUNTIF(N2:N252,"tak")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9F7E03-3F7C-4FAB-8E10-201A9C2AFCA9}" name="Tabela3" displayName="Tabela3" ref="Q1:S13" totalsRowShown="0">
  <autoFilter ref="Q1:S13" xr:uid="{6E9F7E03-3F7C-4FAB-8E10-201A9C2AFCA9}"/>
  <tableColumns count="3">
    <tableColumn id="1" xr3:uid="{565F073F-A648-4827-BB18-992AF42BDD90}" name="Fundusz"/>
    <tableColumn id="2" xr3:uid="{0401C638-0BDD-4F02-BF5C-BFFAFC2CB608}" name="Min"/>
    <tableColumn id="3" xr3:uid="{70ACC5CD-4B72-4109-910C-112D70423537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"/>
  <sheetViews>
    <sheetView tabSelected="1" topLeftCell="K1" zoomScale="130" zoomScaleNormal="130" workbookViewId="0">
      <selection activeCell="B262" sqref="B262"/>
    </sheetView>
  </sheetViews>
  <sheetFormatPr defaultRowHeight="15" x14ac:dyDescent="0.25"/>
  <cols>
    <col min="1" max="1" width="16" bestFit="1" customWidth="1"/>
    <col min="2" max="2" width="8.140625" customWidth="1"/>
    <col min="3" max="13" width="6.5703125" bestFit="1" customWidth="1"/>
    <col min="14" max="14" width="15.7109375" customWidth="1"/>
    <col min="17" max="17" width="1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Q1" t="s">
        <v>18</v>
      </c>
      <c r="R1" t="s">
        <v>20</v>
      </c>
      <c r="S1" t="s">
        <v>19</v>
      </c>
    </row>
    <row r="2" spans="1:19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N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2" t="s">
        <v>1</v>
      </c>
      <c r="R2">
        <v>20.82</v>
      </c>
      <c r="S2">
        <v>50.9</v>
      </c>
    </row>
    <row r="3" spans="1:19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N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3" t="s">
        <v>2</v>
      </c>
      <c r="R3">
        <v>21.21</v>
      </c>
      <c r="S3">
        <v>51.62</v>
      </c>
    </row>
    <row r="4" spans="1:19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N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4" t="s">
        <v>3</v>
      </c>
      <c r="R4">
        <v>21.92</v>
      </c>
      <c r="S4">
        <v>53.12</v>
      </c>
    </row>
    <row r="5" spans="1:19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  <c r="N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5" t="s">
        <v>4</v>
      </c>
      <c r="R5">
        <v>18.760000000000002</v>
      </c>
      <c r="S5">
        <v>58.66</v>
      </c>
    </row>
    <row r="6" spans="1:19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  <c r="N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6" t="s">
        <v>5</v>
      </c>
      <c r="R6">
        <v>18.940000000000001</v>
      </c>
      <c r="S6">
        <v>58.96</v>
      </c>
    </row>
    <row r="7" spans="1:19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  <c r="N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7" t="s">
        <v>6</v>
      </c>
      <c r="R7">
        <v>19.12</v>
      </c>
      <c r="S7">
        <v>59.26</v>
      </c>
    </row>
    <row r="8" spans="1:19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  <c r="N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8" t="s">
        <v>7</v>
      </c>
      <c r="R8">
        <v>16.04</v>
      </c>
      <c r="S8">
        <v>48.15</v>
      </c>
    </row>
    <row r="9" spans="1:19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  <c r="N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9" t="s">
        <v>8</v>
      </c>
      <c r="R9">
        <v>16.079999999999998</v>
      </c>
      <c r="S9">
        <v>48.17</v>
      </c>
    </row>
    <row r="10" spans="1:19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  <c r="N1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10" t="s">
        <v>9</v>
      </c>
      <c r="R10">
        <v>16.12</v>
      </c>
      <c r="S10">
        <v>48.19</v>
      </c>
    </row>
    <row r="11" spans="1:19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  <c r="N1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11" t="s">
        <v>10</v>
      </c>
      <c r="R11">
        <v>20.329999999999998</v>
      </c>
      <c r="S11">
        <v>50.23</v>
      </c>
    </row>
    <row r="12" spans="1:19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  <c r="N1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12" t="s">
        <v>11</v>
      </c>
      <c r="R12">
        <v>20.41</v>
      </c>
      <c r="S12">
        <v>50.23</v>
      </c>
    </row>
    <row r="13" spans="1:19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  <c r="N1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  <c r="Q13" t="s">
        <v>12</v>
      </c>
      <c r="R13">
        <v>20.5</v>
      </c>
      <c r="S13">
        <v>50.23</v>
      </c>
    </row>
    <row r="14" spans="1:19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  <c r="N1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" spans="1:19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  <c r="N1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" spans="1:19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  <c r="N1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" spans="1:14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  <c r="N1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8" spans="1:14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  <c r="N1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9" spans="1:14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  <c r="N1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0" spans="1:14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  <c r="N2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1" spans="1:14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  <c r="N2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2" spans="1:14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  <c r="N2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3" spans="1:14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  <c r="N2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4" spans="1:14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  <c r="N2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5" spans="1:14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  <c r="N2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6" spans="1:14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  <c r="N2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7" spans="1:14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  <c r="N2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8" spans="1:14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  <c r="N2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29" spans="1:14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  <c r="N2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0" spans="1:14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  <c r="N3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1" spans="1:14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  <c r="N3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2" spans="1:14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  <c r="N3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3" spans="1:14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  <c r="N3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4" spans="1:14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  <c r="N3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5" spans="1:14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  <c r="N3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6" spans="1:14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  <c r="N3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7" spans="1:14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  <c r="N3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8" spans="1:14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  <c r="N3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39" spans="1:14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  <c r="N3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0" spans="1:14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  <c r="N4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1" spans="1:14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  <c r="N4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2" spans="1:14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  <c r="N4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3" spans="1:14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  <c r="N4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4" spans="1:14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  <c r="N4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5" spans="1:14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  <c r="N4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6" spans="1:14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  <c r="N4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7" spans="1:14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  <c r="N4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8" spans="1:14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  <c r="N4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49" spans="1:14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  <c r="N4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0" spans="1:14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  <c r="N5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1" spans="1:14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  <c r="N5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2" spans="1:14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  <c r="N5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3" spans="1:14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  <c r="N5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4" spans="1:14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  <c r="N5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5" spans="1:14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  <c r="N5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6" spans="1:14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  <c r="N5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7" spans="1:14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  <c r="N5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8" spans="1:14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  <c r="N5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59" spans="1:14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  <c r="N5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0" spans="1:14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  <c r="N6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1" spans="1:14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  <c r="N6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2" spans="1:14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  <c r="N6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3" spans="1:14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  <c r="N6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4" spans="1:14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  <c r="N6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5" spans="1:14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  <c r="N6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6" spans="1:14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  <c r="N6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7" spans="1:14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  <c r="N6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8" spans="1:14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  <c r="N6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69" spans="1:14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  <c r="N6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0" spans="1:14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  <c r="N7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1" spans="1:14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  <c r="N7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2" spans="1:14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  <c r="N7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3" spans="1:14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  <c r="N7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4" spans="1:14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  <c r="N7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5" spans="1:14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  <c r="N7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6" spans="1:14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  <c r="N7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7" spans="1:14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  <c r="N7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8" spans="1:14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  <c r="N7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79" spans="1:14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  <c r="N7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0" spans="1:14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  <c r="N8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1" spans="1:14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  <c r="N8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2" spans="1:14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  <c r="N8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3" spans="1:14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  <c r="N8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4" spans="1:14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  <c r="N8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5" spans="1:14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  <c r="N8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6" spans="1:14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  <c r="N8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7" spans="1:14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  <c r="N8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8" spans="1:14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  <c r="N8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89" spans="1:14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  <c r="N8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0" spans="1:14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  <c r="N9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1" spans="1:14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  <c r="N9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2" spans="1:14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  <c r="N9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3" spans="1:14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  <c r="N9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4" spans="1:14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  <c r="N9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5" spans="1:14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  <c r="N9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6" spans="1:14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  <c r="N9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7" spans="1:14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  <c r="N9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8" spans="1:14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  <c r="N9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99" spans="1:14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  <c r="N9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0" spans="1:14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  <c r="N10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1" spans="1:14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  <c r="N10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2" spans="1:14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  <c r="N10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3" spans="1:14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  <c r="N10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4" spans="1:14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  <c r="N10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5" spans="1:14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  <c r="N10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6" spans="1:14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  <c r="N10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7" spans="1:14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  <c r="N10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8" spans="1:14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  <c r="N10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09" spans="1:14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  <c r="N10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0" spans="1:14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  <c r="N11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1" spans="1:14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  <c r="N11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2" spans="1:14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  <c r="N11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3" spans="1:14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  <c r="N11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4" spans="1:14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  <c r="N11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5" spans="1:14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  <c r="N11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6" spans="1:14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  <c r="N11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7" spans="1:14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  <c r="N11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8" spans="1:14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  <c r="N11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19" spans="1:14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  <c r="N11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0" spans="1:14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  <c r="N12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1" spans="1:14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  <c r="N12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2" spans="1:14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  <c r="N12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3" spans="1:14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  <c r="N12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4" spans="1:14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  <c r="N12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5" spans="1:14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  <c r="N12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6" spans="1:14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  <c r="N12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7" spans="1:14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  <c r="N12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8" spans="1:14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  <c r="N12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29" spans="1:14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  <c r="N12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0" spans="1:14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  <c r="N13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31" spans="1:14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  <c r="N13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2" spans="1:14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  <c r="N13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33" spans="1:14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  <c r="N13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4" spans="1:14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  <c r="N13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5" spans="1:14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  <c r="N13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6" spans="1:14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  <c r="N13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7" spans="1:14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  <c r="N13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8" spans="1:14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  <c r="N13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39" spans="1:14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  <c r="N13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0" spans="1:14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  <c r="N14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1" spans="1:14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  <c r="N14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2" spans="1:14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  <c r="N14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43" spans="1:14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  <c r="N14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4" spans="1:14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  <c r="N14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5" spans="1:14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  <c r="N14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6" spans="1:14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  <c r="N14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47" spans="1:14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  <c r="N14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48" spans="1:14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  <c r="N14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49" spans="1:14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  <c r="N14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0" spans="1:14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  <c r="N15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1" spans="1:14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  <c r="N15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2" spans="1:14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  <c r="N15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3" spans="1:14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  <c r="N15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4" spans="1:14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  <c r="N15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5" spans="1:14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  <c r="N15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6" spans="1:14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  <c r="N15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7" spans="1:14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  <c r="N15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8" spans="1:14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  <c r="N15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59" spans="1:14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  <c r="N15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0" spans="1:14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  <c r="N16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1" spans="1:14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  <c r="N16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2" spans="1:14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  <c r="N16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63" spans="1:14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  <c r="N16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4" spans="1:14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  <c r="N16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5" spans="1:14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  <c r="N16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6" spans="1:14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  <c r="N16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67" spans="1:14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  <c r="N16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8" spans="1:14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  <c r="N16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69" spans="1:14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  <c r="N16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0" spans="1:14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  <c r="N17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1" spans="1:14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  <c r="N17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2" spans="1:14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  <c r="N17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3" spans="1:14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  <c r="N17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4" spans="1:14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  <c r="N17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5" spans="1:14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  <c r="N17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6" spans="1:14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  <c r="N17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tak</v>
      </c>
    </row>
    <row r="177" spans="1:14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  <c r="N17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78" spans="1:14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  <c r="N17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79" spans="1:14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  <c r="N17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0" spans="1:14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  <c r="N18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1" spans="1:14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  <c r="N18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2" spans="1:14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  <c r="N18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3" spans="1:14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  <c r="N18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4" spans="1:14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  <c r="N18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5" spans="1:14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  <c r="N18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6" spans="1:14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  <c r="N18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7" spans="1:14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  <c r="N18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8" spans="1:14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  <c r="N18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89" spans="1:14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  <c r="N18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0" spans="1:14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  <c r="N19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1" spans="1:14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  <c r="N19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2" spans="1:14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  <c r="N19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3" spans="1:14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  <c r="N19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4" spans="1:14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  <c r="N19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5" spans="1:14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  <c r="N19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6" spans="1:14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  <c r="N19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7" spans="1:14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  <c r="N19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8" spans="1:14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  <c r="N19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199" spans="1:14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  <c r="N19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0" spans="1:14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  <c r="N20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1" spans="1:14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  <c r="N20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2" spans="1:14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  <c r="N20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3" spans="1:14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  <c r="N20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4" spans="1:14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  <c r="N20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5" spans="1:14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  <c r="N20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6" spans="1:14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  <c r="N20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7" spans="1:14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  <c r="N20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8" spans="1:14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  <c r="N20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09" spans="1:14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  <c r="N20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0" spans="1:14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  <c r="N21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1" spans="1:14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  <c r="N21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2" spans="1:14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  <c r="N21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3" spans="1:14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  <c r="N21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4" spans="1:14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  <c r="N21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5" spans="1:14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  <c r="N21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6" spans="1:14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  <c r="N21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7" spans="1:14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  <c r="N21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8" spans="1:14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  <c r="N21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19" spans="1:14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  <c r="N21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0" spans="1:14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  <c r="N22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1" spans="1:14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  <c r="N22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2" spans="1:14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  <c r="N22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3" spans="1:14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  <c r="N22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4" spans="1:14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  <c r="N22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5" spans="1:14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  <c r="N22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6" spans="1:14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  <c r="N22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7" spans="1:14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  <c r="N22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8" spans="1:14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  <c r="N22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29" spans="1:14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  <c r="N22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0" spans="1:14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  <c r="N23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1" spans="1:14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  <c r="N23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2" spans="1:14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  <c r="N23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3" spans="1:14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  <c r="N23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4" spans="1:14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  <c r="N23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5" spans="1:14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  <c r="N23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6" spans="1:14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  <c r="N23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7" spans="1:14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  <c r="N23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8" spans="1:14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  <c r="N23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39" spans="1:14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  <c r="N23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0" spans="1:14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  <c r="N24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1" spans="1:14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  <c r="N24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2" spans="1:14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  <c r="N24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3" spans="1:14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  <c r="N243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4" spans="1:14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  <c r="N244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5" spans="1:14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  <c r="N245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6" spans="1:14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  <c r="N246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7" spans="1:14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  <c r="N247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8" spans="1:14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  <c r="N248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49" spans="1:14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  <c r="N249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50" spans="1:14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  <c r="N250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51" spans="1:14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  <c r="N251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52" spans="1:14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  <c r="N252" t="str">
        <f>IF(AND(Tabela1[[#This Row],[A]]&gt;33,Tabela1[[#This Row],[B]]&gt;33,Tabela1[[#This Row],[C]]&gt;33,Tabela1[[#This Row],[D]]&gt;33,Tabela1[[#This Row],[E]]&gt;33,Tabela1[[#This Row],[F]]&gt;33,Tabela1[[#This Row],[G]]&gt;33,Tabela1[[#This Row],[H]]&gt;33,Tabela1[[#This Row],[I]]&gt;33,Tabela1[[#This Row],[J]]&gt;33,Tabela1[[#This Row],[K]]&gt;33,Tabela1[[#This Row],[L]]&gt;33),"tak","nie")</f>
        <v>nie</v>
      </c>
    </row>
    <row r="253" spans="1:14" x14ac:dyDescent="0.25">
      <c r="A253" s="1" t="s">
        <v>13</v>
      </c>
      <c r="B253">
        <f>ROUND(AVERAGE(B2:B252),2)</f>
        <v>36.54</v>
      </c>
      <c r="C253">
        <f t="shared" ref="C253:M253" si="0">ROUND(AVERAGE(C2:C252),2)</f>
        <v>37.14</v>
      </c>
      <c r="D253">
        <f t="shared" si="0"/>
        <v>38.299999999999997</v>
      </c>
      <c r="E253">
        <f t="shared" si="0"/>
        <v>39</v>
      </c>
      <c r="F253">
        <f t="shared" si="0"/>
        <v>39.28</v>
      </c>
      <c r="G253">
        <f t="shared" si="0"/>
        <v>39.56</v>
      </c>
      <c r="H253">
        <f t="shared" si="0"/>
        <v>33.4</v>
      </c>
      <c r="I253">
        <f t="shared" si="0"/>
        <v>33.44</v>
      </c>
      <c r="J253">
        <f t="shared" si="0"/>
        <v>33.49</v>
      </c>
      <c r="K253">
        <f t="shared" si="0"/>
        <v>38.340000000000003</v>
      </c>
      <c r="L253">
        <f t="shared" si="0"/>
        <v>38.42</v>
      </c>
      <c r="M253">
        <f t="shared" si="0"/>
        <v>38.49</v>
      </c>
      <c r="N253">
        <f>COUNTIF(N2:N252,"tak")</f>
        <v>158</v>
      </c>
    </row>
    <row r="254" spans="1:14" x14ac:dyDescent="0.25">
      <c r="A254" t="s">
        <v>16</v>
      </c>
      <c r="B254">
        <f>MIN(B2:B252)</f>
        <v>20.82</v>
      </c>
      <c r="C254">
        <f t="shared" ref="C254:M254" si="1">MIN(C2:C252)</f>
        <v>21.21</v>
      </c>
      <c r="D254">
        <f t="shared" si="1"/>
        <v>21.92</v>
      </c>
      <c r="E254">
        <f t="shared" si="1"/>
        <v>18.760000000000002</v>
      </c>
      <c r="F254">
        <f t="shared" si="1"/>
        <v>18.940000000000001</v>
      </c>
      <c r="G254">
        <f t="shared" si="1"/>
        <v>19.12</v>
      </c>
      <c r="H254">
        <f t="shared" si="1"/>
        <v>16.04</v>
      </c>
      <c r="I254">
        <f t="shared" si="1"/>
        <v>16.079999999999998</v>
      </c>
      <c r="J254">
        <f t="shared" si="1"/>
        <v>16.12</v>
      </c>
      <c r="K254">
        <f t="shared" si="1"/>
        <v>20.329999999999998</v>
      </c>
      <c r="L254">
        <f t="shared" si="1"/>
        <v>20.41</v>
      </c>
      <c r="M254">
        <f t="shared" si="1"/>
        <v>20.5</v>
      </c>
    </row>
    <row r="255" spans="1:14" x14ac:dyDescent="0.25">
      <c r="A255" t="s">
        <v>17</v>
      </c>
      <c r="B255">
        <f>MAX(B2:B252)</f>
        <v>50.9</v>
      </c>
      <c r="C255">
        <f t="shared" ref="C255:M255" si="2">MAX(C2:C252)</f>
        <v>51.62</v>
      </c>
      <c r="D255">
        <f t="shared" si="2"/>
        <v>53.12</v>
      </c>
      <c r="E255">
        <f t="shared" si="2"/>
        <v>58.66</v>
      </c>
      <c r="F255">
        <f t="shared" si="2"/>
        <v>58.96</v>
      </c>
      <c r="G255">
        <f t="shared" si="2"/>
        <v>59.26</v>
      </c>
      <c r="H255">
        <f t="shared" si="2"/>
        <v>48.15</v>
      </c>
      <c r="I255">
        <f t="shared" si="2"/>
        <v>48.17</v>
      </c>
      <c r="J255">
        <f t="shared" si="2"/>
        <v>48.19</v>
      </c>
      <c r="K255">
        <f t="shared" si="2"/>
        <v>50.23</v>
      </c>
      <c r="L255">
        <f t="shared" si="2"/>
        <v>50.23</v>
      </c>
      <c r="M255">
        <f t="shared" si="2"/>
        <v>50.23</v>
      </c>
    </row>
    <row r="262" spans="1:3" x14ac:dyDescent="0.25">
      <c r="A262" t="s">
        <v>15</v>
      </c>
      <c r="B262">
        <f>_xlfn.MODE.SNGL(B2:M252)</f>
        <v>42.98</v>
      </c>
      <c r="C262">
        <f>COUNTIF(B2:M252,B262)</f>
        <v>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</dc:creator>
  <cp:lastModifiedBy>patryk</cp:lastModifiedBy>
  <dcterms:created xsi:type="dcterms:W3CDTF">2015-06-05T18:19:34Z</dcterms:created>
  <dcterms:modified xsi:type="dcterms:W3CDTF">2025-09-07T08:29:22Z</dcterms:modified>
</cp:coreProperties>
</file>